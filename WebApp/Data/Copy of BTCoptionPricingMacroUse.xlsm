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Python\Data\"/>
    </mc:Choice>
  </mc:AlternateContent>
  <bookViews>
    <workbookView xWindow="0" yWindow="0" windowWidth="14370" windowHeight="7515" firstSheet="3" activeTab="3"/>
  </bookViews>
  <sheets>
    <sheet name="Pricing" sheetId="1" r:id="rId1"/>
    <sheet name="IVSearch" sheetId="2" r:id="rId2"/>
    <sheet name="Table Example" sheetId="3" r:id="rId3"/>
    <sheet name="SPricingScreen" sheetId="4" r:id="rId4"/>
    <sheet name="Sheet2" sheetId="5" r:id="rId5"/>
  </sheets>
  <functionGroups builtInGroupCount="18"/>
  <definedNames>
    <definedName name="__DdeLink__1772_4072032673" localSheetId="1">IVSearch!$O$2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4" l="1"/>
  <c r="F6" i="4"/>
  <c r="I6" i="4"/>
  <c r="B1" i="3"/>
  <c r="E8" i="3" s="1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E3" i="2"/>
  <c r="L20" i="2"/>
  <c r="L23" i="2"/>
  <c r="M23" i="2"/>
  <c r="L12" i="2"/>
  <c r="F12" i="2"/>
  <c r="L22" i="2"/>
  <c r="M22" i="2"/>
  <c r="O22" i="2"/>
  <c r="L21" i="2"/>
  <c r="M21" i="2"/>
  <c r="O21" i="2"/>
  <c r="N23" i="2"/>
  <c r="O23" i="2"/>
  <c r="M20" i="2"/>
  <c r="O20" i="2"/>
  <c r="N21" i="2"/>
  <c r="N22" i="2"/>
  <c r="N20" i="2"/>
  <c r="M12" i="2"/>
  <c r="D6" i="1"/>
  <c r="D7" i="1" s="1"/>
  <c r="E7" i="1" s="1"/>
  <c r="O12" i="2"/>
  <c r="N12" i="2"/>
  <c r="C13" i="2"/>
  <c r="L13" i="2"/>
  <c r="F13" i="2"/>
  <c r="M13" i="2"/>
  <c r="O13" i="2"/>
  <c r="N13" i="2"/>
  <c r="C14" i="2"/>
  <c r="L14" i="2"/>
  <c r="F14" i="2"/>
  <c r="M14" i="2"/>
  <c r="O14" i="2"/>
  <c r="N14" i="2"/>
  <c r="C15" i="2"/>
  <c r="L15" i="2"/>
  <c r="F15" i="2"/>
  <c r="M15" i="2"/>
  <c r="O15" i="2"/>
  <c r="N15" i="2"/>
  <c r="C16" i="2"/>
  <c r="L16" i="2"/>
  <c r="F16" i="2"/>
  <c r="M16" i="2"/>
  <c r="O16" i="2"/>
  <c r="N16" i="2"/>
  <c r="C17" i="2"/>
  <c r="L17" i="2"/>
  <c r="F17" i="2"/>
  <c r="M17" i="2"/>
  <c r="O17" i="2"/>
  <c r="N17" i="2"/>
  <c r="C18" i="2"/>
  <c r="L18" i="2"/>
  <c r="F18" i="2"/>
  <c r="M18" i="2"/>
  <c r="O18" i="2"/>
  <c r="N18" i="2"/>
  <c r="C19" i="2"/>
  <c r="L19" i="2"/>
  <c r="F19" i="2"/>
  <c r="M19" i="2"/>
  <c r="N19" i="2"/>
  <c r="O19" i="2"/>
  <c r="J17" i="1"/>
  <c r="E10" i="3"/>
  <c r="E46" i="3"/>
  <c r="E20" i="3"/>
  <c r="E37" i="3"/>
  <c r="E12" i="3"/>
  <c r="E21" i="3"/>
  <c r="E36" i="3"/>
  <c r="J21" i="1"/>
  <c r="E31" i="3"/>
  <c r="E44" i="3"/>
  <c r="E11" i="3"/>
  <c r="E29" i="3"/>
  <c r="E17" i="3"/>
  <c r="H16" i="1"/>
  <c r="D11" i="5"/>
  <c r="E25" i="3"/>
  <c r="E51" i="3"/>
  <c r="E42" i="3"/>
  <c r="J18" i="1"/>
  <c r="E33" i="3"/>
  <c r="E30" i="3"/>
  <c r="J20" i="1"/>
  <c r="H17" i="1"/>
  <c r="E53" i="3"/>
  <c r="E49" i="3"/>
  <c r="E22" i="3"/>
  <c r="E54" i="3"/>
  <c r="E43" i="3"/>
  <c r="C24" i="2"/>
  <c r="J16" i="1"/>
  <c r="E18" i="3"/>
  <c r="J22" i="1"/>
  <c r="J23" i="1"/>
  <c r="J15" i="1"/>
  <c r="C26" i="2"/>
  <c r="H21" i="1"/>
  <c r="E16" i="3"/>
  <c r="E50" i="3"/>
  <c r="H18" i="1"/>
  <c r="E15" i="3"/>
  <c r="E27" i="3"/>
  <c r="E19" i="3"/>
  <c r="E47" i="3"/>
  <c r="H19" i="1"/>
  <c r="E48" i="3"/>
  <c r="E26" i="3"/>
  <c r="E34" i="3"/>
  <c r="H20" i="1"/>
  <c r="E41" i="3"/>
  <c r="H22" i="1"/>
  <c r="J19" i="1"/>
  <c r="H23" i="1"/>
  <c r="E35" i="3"/>
  <c r="E55" i="3"/>
  <c r="E23" i="3"/>
  <c r="E38" i="3"/>
  <c r="E13" i="3"/>
  <c r="E40" i="3"/>
  <c r="H15" i="1"/>
  <c r="E14" i="3"/>
  <c r="E52" i="3"/>
  <c r="E32" i="3"/>
  <c r="E28" i="3"/>
  <c r="E39" i="3"/>
  <c r="E24" i="3"/>
  <c r="E45" i="3"/>
  <c r="F13" i="4"/>
  <c r="D8" i="4" l="1"/>
  <c r="N4" i="1"/>
  <c r="H10" i="1" s="1"/>
  <c r="F8" i="3"/>
  <c r="D8" i="3"/>
  <c r="F17" i="3"/>
  <c r="D37" i="3"/>
  <c r="F13" i="3"/>
  <c r="F15" i="3"/>
  <c r="D26" i="3"/>
  <c r="F14" i="3"/>
  <c r="F49" i="3"/>
  <c r="D44" i="3"/>
  <c r="D41" i="3"/>
  <c r="D29" i="3"/>
  <c r="F53" i="3"/>
  <c r="F34" i="3"/>
  <c r="D39" i="3"/>
  <c r="F20" i="3"/>
  <c r="D40" i="3"/>
  <c r="F48" i="3"/>
  <c r="F31" i="3"/>
  <c r="D47" i="3"/>
  <c r="F40" i="3"/>
  <c r="F27" i="3"/>
  <c r="D34" i="3"/>
  <c r="F39" i="3"/>
  <c r="F33" i="3"/>
  <c r="F52" i="3"/>
  <c r="F16" i="4"/>
  <c r="D25" i="3"/>
  <c r="F44" i="3"/>
  <c r="D45" i="3"/>
  <c r="F42" i="3"/>
  <c r="D36" i="3"/>
  <c r="F12" i="3"/>
  <c r="D52" i="3"/>
  <c r="D53" i="3"/>
  <c r="F36" i="3"/>
  <c r="I13" i="4"/>
  <c r="D21" i="3"/>
  <c r="F23" i="3"/>
  <c r="D17" i="3"/>
  <c r="F24" i="3"/>
  <c r="F26" i="3"/>
  <c r="D31" i="3"/>
  <c r="D30" i="3"/>
  <c r="F51" i="3"/>
  <c r="D11" i="3"/>
  <c r="F19" i="3"/>
  <c r="D18" i="3"/>
  <c r="F45" i="3"/>
  <c r="F30" i="3"/>
  <c r="F25" i="3"/>
  <c r="D49" i="3"/>
  <c r="C16" i="4"/>
  <c r="D46" i="3"/>
  <c r="F37" i="3"/>
  <c r="D50" i="3"/>
  <c r="F55" i="3"/>
  <c r="D32" i="3"/>
  <c r="D15" i="3"/>
  <c r="F54" i="3"/>
  <c r="D54" i="3"/>
  <c r="D23" i="3"/>
  <c r="C13" i="4"/>
  <c r="D33" i="3"/>
  <c r="D14" i="3"/>
  <c r="F21" i="3"/>
  <c r="D27" i="3"/>
  <c r="D55" i="3"/>
  <c r="F18" i="3"/>
  <c r="D16" i="3"/>
  <c r="D51" i="3"/>
  <c r="D20" i="3"/>
  <c r="F32" i="3"/>
  <c r="D35" i="3"/>
  <c r="D13" i="5"/>
  <c r="D12" i="3"/>
  <c r="F43" i="3"/>
  <c r="F50" i="3"/>
  <c r="D22" i="3"/>
  <c r="D38" i="3"/>
  <c r="F38" i="3"/>
  <c r="F11" i="3"/>
  <c r="D13" i="3"/>
  <c r="F28" i="3"/>
  <c r="F22" i="3"/>
  <c r="D42" i="3"/>
  <c r="F10" i="3"/>
  <c r="D10" i="3"/>
  <c r="F16" i="3"/>
  <c r="F29" i="3"/>
  <c r="D24" i="3"/>
  <c r="I16" i="4"/>
  <c r="D48" i="3"/>
  <c r="F47" i="3"/>
  <c r="F35" i="3"/>
  <c r="F46" i="3"/>
  <c r="F41" i="3"/>
  <c r="D43" i="3"/>
  <c r="D28" i="3"/>
  <c r="D19" i="3"/>
  <c r="F15" i="4" l="1"/>
  <c r="C17" i="4"/>
  <c r="I15" i="4"/>
  <c r="I17" i="4"/>
  <c r="F17" i="4"/>
  <c r="C15" i="4"/>
  <c r="H6" i="1"/>
  <c r="J5" i="1"/>
  <c r="P4" i="1"/>
  <c r="N5" i="1"/>
  <c r="J10" i="1"/>
  <c r="H5" i="1"/>
  <c r="H7" i="1"/>
  <c r="J7" i="1"/>
  <c r="J6" i="1"/>
  <c r="K17" i="4" l="1"/>
  <c r="K15" i="4"/>
  <c r="P5" i="1"/>
  <c r="M9" i="1"/>
  <c r="J9" i="1"/>
  <c r="J4" i="1"/>
  <c r="H9" i="1"/>
  <c r="H4" i="1"/>
  <c r="H11" i="1"/>
  <c r="J11" i="1"/>
</calcChain>
</file>

<file path=xl/sharedStrings.xml><?xml version="1.0" encoding="utf-8"?>
<sst xmlns="http://schemas.openxmlformats.org/spreadsheetml/2006/main" count="129" uniqueCount="97">
  <si>
    <t>BTC Option Pricing tool</t>
    <phoneticPr fontId="2"/>
  </si>
  <si>
    <t xml:space="preserve">Call </t>
    <phoneticPr fontId="2"/>
  </si>
  <si>
    <t>Put</t>
    <phoneticPr fontId="2"/>
  </si>
  <si>
    <t>Base Data</t>
    <phoneticPr fontId="2"/>
  </si>
  <si>
    <t>Price</t>
    <phoneticPr fontId="2"/>
  </si>
  <si>
    <t>d1</t>
    <phoneticPr fontId="2"/>
  </si>
  <si>
    <t>N(d1)</t>
    <phoneticPr fontId="2"/>
  </si>
  <si>
    <t>BTC Price</t>
    <phoneticPr fontId="2"/>
  </si>
  <si>
    <t>Delta</t>
    <phoneticPr fontId="2"/>
  </si>
  <si>
    <t>d2</t>
    <phoneticPr fontId="2"/>
  </si>
  <si>
    <t>N(d2)</t>
    <phoneticPr fontId="2"/>
  </si>
  <si>
    <t>Today</t>
    <phoneticPr fontId="2"/>
  </si>
  <si>
    <t>Gamma</t>
    <phoneticPr fontId="2"/>
  </si>
  <si>
    <t>Expiry</t>
    <phoneticPr fontId="2"/>
  </si>
  <si>
    <t>Yr</t>
    <phoneticPr fontId="2"/>
  </si>
  <si>
    <t>vega vs1%vol</t>
    <phoneticPr fontId="2"/>
  </si>
  <si>
    <t>Strike</t>
    <phoneticPr fontId="2"/>
  </si>
  <si>
    <t>theta</t>
    <phoneticPr fontId="2"/>
  </si>
  <si>
    <t>Call/Put</t>
    <phoneticPr fontId="2"/>
  </si>
  <si>
    <t>rho(JPY) 1%int</t>
    <phoneticPr fontId="2"/>
  </si>
  <si>
    <t>volatility</t>
    <phoneticPr fontId="2"/>
  </si>
  <si>
    <t>vanna</t>
    <phoneticPr fontId="2"/>
  </si>
  <si>
    <t>BTC interest rate</t>
    <phoneticPr fontId="2"/>
  </si>
  <si>
    <t>volga</t>
    <phoneticPr fontId="2"/>
  </si>
  <si>
    <t>JPY interest rate</t>
    <phoneticPr fontId="2"/>
  </si>
  <si>
    <t>比較用</t>
    <rPh sb="0" eb="3">
      <t>ヒカクヨウ</t>
    </rPh>
    <phoneticPr fontId="2"/>
  </si>
  <si>
    <t>Macro function results</t>
    <phoneticPr fontId="2"/>
  </si>
  <si>
    <t>C=S・exp(-ｑ・t)N(d1)-K・exp(-rt)N(d2)</t>
    <phoneticPr fontId="2"/>
  </si>
  <si>
    <t>P=K・exp(-r・t)N(-d2)-S・exp(-qt)N(-d1)</t>
    <phoneticPr fontId="2"/>
  </si>
  <si>
    <t>d1=｛log(S/K)+(r-q+σ^2/2)t｝/σ√t</t>
    <phoneticPr fontId="2"/>
  </si>
  <si>
    <t>d2=d1-σ√t</t>
    <phoneticPr fontId="2"/>
  </si>
  <si>
    <t>vega vs 1</t>
    <phoneticPr fontId="2"/>
  </si>
  <si>
    <t>theta 1 day</t>
    <phoneticPr fontId="2"/>
  </si>
  <si>
    <t>rho(JPY) 1</t>
    <phoneticPr fontId="2"/>
  </si>
  <si>
    <t>rho(BTC) 1</t>
    <phoneticPr fontId="2"/>
  </si>
  <si>
    <t>vanna 1</t>
    <phoneticPr fontId="2"/>
  </si>
  <si>
    <t>volga 1</t>
    <phoneticPr fontId="2"/>
  </si>
  <si>
    <t>IV</t>
    <phoneticPr fontId="2"/>
  </si>
  <si>
    <t>ニュートン法によるIVの計算</t>
    <rPh sb="5" eb="6">
      <t>ホウ</t>
    </rPh>
    <rPh sb="12" eb="14">
      <t>ケイサン</t>
    </rPh>
    <phoneticPr fontId="2"/>
  </si>
  <si>
    <t>σ(n)=σ(n-1)-f(σ(n-1))/f’(σ(n-1))=σ(n-1)-f(σ(n-1))/v(n-1)</t>
  </si>
  <si>
    <t>期間</t>
    <rPh sb="0" eb="2">
      <t>キカン</t>
    </rPh>
    <phoneticPr fontId="2"/>
  </si>
  <si>
    <r>
      <t>σ(n)</t>
    </r>
    <r>
      <rPr>
        <sz val="12"/>
        <color theme="1"/>
        <rFont val="ＭＳ 明朝"/>
        <family val="1"/>
        <charset val="128"/>
      </rPr>
      <t>：</t>
    </r>
    <r>
      <rPr>
        <sz val="12"/>
        <color theme="1"/>
        <rFont val="Liberation Serif"/>
        <family val="1"/>
      </rPr>
      <t>n</t>
    </r>
    <r>
      <rPr>
        <sz val="12"/>
        <color theme="1"/>
        <rFont val="ＭＳ 明朝"/>
        <family val="1"/>
        <charset val="128"/>
      </rPr>
      <t>回目のボラティリティ推計値、</t>
    </r>
    <r>
      <rPr>
        <sz val="12"/>
        <color theme="1"/>
        <rFont val="Liberation Serif"/>
        <family val="1"/>
      </rPr>
      <t>σ(n-1)</t>
    </r>
    <r>
      <rPr>
        <sz val="12"/>
        <color theme="1"/>
        <rFont val="ＭＳ 明朝"/>
        <family val="1"/>
        <charset val="128"/>
      </rPr>
      <t>：</t>
    </r>
    <r>
      <rPr>
        <sz val="12"/>
        <color theme="1"/>
        <rFont val="Liberation Serif"/>
        <family val="1"/>
      </rPr>
      <t>n-1</t>
    </r>
    <r>
      <rPr>
        <sz val="12"/>
        <color theme="1"/>
        <rFont val="ＭＳ 明朝"/>
        <family val="1"/>
        <charset val="128"/>
      </rPr>
      <t>回目のボラティリティ推計値</t>
    </r>
  </si>
  <si>
    <r>
      <t>f</t>
    </r>
    <r>
      <rPr>
        <sz val="12"/>
        <color theme="1"/>
        <rFont val="ＭＳ 明朝"/>
        <family val="1"/>
        <charset val="128"/>
      </rPr>
      <t>：</t>
    </r>
    <r>
      <rPr>
        <sz val="12"/>
        <color theme="1"/>
        <rFont val="Liberation Serif"/>
        <family val="1"/>
      </rPr>
      <t>BS</t>
    </r>
    <r>
      <rPr>
        <sz val="12"/>
        <color theme="1"/>
        <rFont val="ＭＳ 明朝"/>
        <family val="1"/>
        <charset val="128"/>
      </rPr>
      <t>式によるオプション価格関数</t>
    </r>
  </si>
  <si>
    <t>BTC price</t>
    <phoneticPr fontId="2"/>
  </si>
  <si>
    <r>
      <t>v(n-1)</t>
    </r>
    <r>
      <rPr>
        <sz val="12"/>
        <color theme="1"/>
        <rFont val="ＭＳ 明朝"/>
        <family val="1"/>
        <charset val="128"/>
      </rPr>
      <t>：ボラティリティ</t>
    </r>
    <r>
      <rPr>
        <sz val="12"/>
        <color theme="1"/>
        <rFont val="Liberation Serif"/>
        <family val="1"/>
      </rPr>
      <t>σ(n-1)</t>
    </r>
    <r>
      <rPr>
        <sz val="12"/>
        <color theme="1"/>
        <rFont val="ＭＳ 明朝"/>
        <family val="1"/>
        <charset val="128"/>
      </rPr>
      <t>の時のベガ</t>
    </r>
    <r>
      <rPr>
        <sz val="12"/>
        <color theme="1"/>
        <rFont val="Liberation Serif"/>
        <family val="1"/>
      </rPr>
      <t>=∂f/∂σ(n-1)</t>
    </r>
  </si>
  <si>
    <t>BTC IR</t>
    <phoneticPr fontId="2"/>
  </si>
  <si>
    <t>USD IR</t>
    <phoneticPr fontId="2"/>
  </si>
  <si>
    <t>Put or Call</t>
    <phoneticPr fontId="2"/>
  </si>
  <si>
    <t xml:space="preserve">;&gt; </t>
    <phoneticPr fontId="2"/>
  </si>
  <si>
    <t>Call</t>
    <phoneticPr fontId="2"/>
  </si>
  <si>
    <t>ニュートン法によるIVの計算(シートベース)</t>
    <rPh sb="5" eb="6">
      <t>ホウ</t>
    </rPh>
    <rPh sb="12" eb="14">
      <t>ケイサン</t>
    </rPh>
    <phoneticPr fontId="2"/>
  </si>
  <si>
    <t>BSCall</t>
    <phoneticPr fontId="2"/>
  </si>
  <si>
    <t>BSPut</t>
    <phoneticPr fontId="2"/>
  </si>
  <si>
    <t>初期値</t>
  </si>
  <si>
    <t>BSVega</t>
    <phoneticPr fontId="2"/>
  </si>
  <si>
    <t>推計値</t>
  </si>
  <si>
    <t>二分法によるIV関数チェック</t>
    <rPh sb="0" eb="3">
      <t>ニブンホウ</t>
    </rPh>
    <rPh sb="8" eb="10">
      <t>カンスウ</t>
    </rPh>
    <phoneticPr fontId="2"/>
  </si>
  <si>
    <t>2分法コール</t>
    <rPh sb="1" eb="2">
      <t>ブン</t>
    </rPh>
    <rPh sb="2" eb="3">
      <t>ホウ</t>
    </rPh>
    <phoneticPr fontId="2"/>
  </si>
  <si>
    <t>2分法プット</t>
    <rPh sb="1" eb="2">
      <t>ブン</t>
    </rPh>
    <rPh sb="2" eb="3">
      <t>ホウ</t>
    </rPh>
    <phoneticPr fontId="2"/>
  </si>
  <si>
    <t>日付</t>
    <rPh sb="0" eb="2">
      <t>ヒヅケ</t>
    </rPh>
    <phoneticPr fontId="2"/>
  </si>
  <si>
    <t>現在価格</t>
    <rPh sb="0" eb="2">
      <t>ゲンザイ</t>
    </rPh>
    <rPh sb="2" eb="4">
      <t>カカク</t>
    </rPh>
    <phoneticPr fontId="2"/>
  </si>
  <si>
    <t>アウトプット</t>
    <phoneticPr fontId="2"/>
  </si>
  <si>
    <t>価格</t>
    <rPh sb="0" eb="2">
      <t>カカク</t>
    </rPh>
    <phoneticPr fontId="2"/>
  </si>
  <si>
    <t>BTC金利</t>
    <rPh sb="3" eb="5">
      <t>キンリ</t>
    </rPh>
    <phoneticPr fontId="2"/>
  </si>
  <si>
    <t>JPY金利</t>
    <rPh sb="3" eb="5">
      <t>キンリ</t>
    </rPh>
    <phoneticPr fontId="2"/>
  </si>
  <si>
    <t>コールプット</t>
    <phoneticPr fontId="2"/>
  </si>
  <si>
    <t>デイカウント</t>
    <phoneticPr fontId="2"/>
  </si>
  <si>
    <t>End</t>
    <phoneticPr fontId="2"/>
  </si>
  <si>
    <t>Vol</t>
    <phoneticPr fontId="2"/>
  </si>
  <si>
    <t>行使価格</t>
    <rPh sb="0" eb="2">
      <t>コウシ</t>
    </rPh>
    <rPh sb="2" eb="4">
      <t>カカク</t>
    </rPh>
    <phoneticPr fontId="2"/>
  </si>
  <si>
    <t>BTCオプションプライシング</t>
    <phoneticPr fontId="2"/>
  </si>
  <si>
    <t>日付</t>
  </si>
  <si>
    <t>デイカウント</t>
  </si>
  <si>
    <t>オプション１</t>
    <phoneticPr fontId="2"/>
  </si>
  <si>
    <t>オプション2</t>
    <phoneticPr fontId="2"/>
  </si>
  <si>
    <t>オプション3</t>
    <phoneticPr fontId="2"/>
  </si>
  <si>
    <t>BTC価格</t>
  </si>
  <si>
    <t>BTC価格</t>
    <rPh sb="3" eb="5">
      <t>カカク</t>
    </rPh>
    <phoneticPr fontId="2"/>
  </si>
  <si>
    <t>行使価格</t>
  </si>
  <si>
    <t>満期日</t>
  </si>
  <si>
    <t>満期日</t>
    <rPh sb="0" eb="3">
      <t>マンキビ</t>
    </rPh>
    <phoneticPr fontId="2"/>
  </si>
  <si>
    <t>BTC金利</t>
    <phoneticPr fontId="2"/>
  </si>
  <si>
    <t>JPY金利</t>
  </si>
  <si>
    <t>ボラティリティ</t>
  </si>
  <si>
    <t>ボラティリティ</t>
    <phoneticPr fontId="2"/>
  </si>
  <si>
    <t>コールプット</t>
  </si>
  <si>
    <t>プレミアム</t>
  </si>
  <si>
    <t>プレミアム</t>
    <phoneticPr fontId="2"/>
  </si>
  <si>
    <t>数量</t>
  </si>
  <si>
    <t>数量</t>
    <rPh sb="0" eb="2">
      <t>スウリョウ</t>
    </rPh>
    <phoneticPr fontId="2"/>
  </si>
  <si>
    <t>キャッシュフロー</t>
  </si>
  <si>
    <t>単位デルタ</t>
  </si>
  <si>
    <t>ポジションデルタ</t>
  </si>
  <si>
    <t>インプライドボラティリティ計算用シート</t>
    <rPh sb="13" eb="15">
      <t>ケイサン</t>
    </rPh>
    <rPh sb="15" eb="16">
      <t>ヨウ</t>
    </rPh>
    <phoneticPr fontId="2"/>
  </si>
  <si>
    <t>基準日</t>
  </si>
  <si>
    <t>オプション価格</t>
  </si>
  <si>
    <t>check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</si>
</sst>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#,##0.00000;[Red]\-#,##0.00000"/>
    <numFmt numFmtId="177" formatCode="0.0000000%"/>
    <numFmt numFmtId="178" formatCode="#,##0.00000000000000_ ;[Red]\-#,##0.00000000000000\ "/>
    <numFmt numFmtId="179" formatCode="0.000%"/>
    <numFmt numFmtId="180" formatCode="0.000000000"/>
    <numFmt numFmtId="181" formatCode="0.000000%"/>
    <numFmt numFmtId="182" formatCode="#,##0.0;[Red]\-#,##0.0"/>
    <numFmt numFmtId="183" formatCode="#,##0.000;[Red]\-#,##0.000"/>
    <numFmt numFmtId="184" formatCode="#,##0.0000;[Red]\-#,##0.0000"/>
  </numFmts>
  <fonts count="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Liberation Serif"/>
      <family val="1"/>
    </font>
    <font>
      <sz val="12"/>
      <color theme="1"/>
      <name val="ＭＳ 明朝"/>
      <family val="1"/>
      <charset val="128"/>
    </font>
    <font>
      <b/>
      <sz val="18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9" fontId="0" fillId="0" borderId="0" xfId="0" applyNumberFormat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3" fillId="0" borderId="0" xfId="0" applyFont="1">
      <alignment vertical="center"/>
    </xf>
    <xf numFmtId="176" fontId="0" fillId="0" borderId="0" xfId="1" applyNumberFormat="1" applyFont="1">
      <alignment vertical="center"/>
    </xf>
    <xf numFmtId="40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0" fillId="2" borderId="0" xfId="0" applyFill="1">
      <alignment vertical="center"/>
    </xf>
    <xf numFmtId="181" fontId="0" fillId="0" borderId="0" xfId="2" applyNumberFormat="1" applyFont="1">
      <alignment vertical="center"/>
    </xf>
    <xf numFmtId="38" fontId="0" fillId="0" borderId="0" xfId="1" applyFont="1">
      <alignment vertical="center"/>
    </xf>
    <xf numFmtId="183" fontId="0" fillId="0" borderId="0" xfId="1" applyNumberFormat="1" applyFont="1">
      <alignment vertical="center"/>
    </xf>
    <xf numFmtId="0" fontId="0" fillId="3" borderId="0" xfId="0" applyFill="1">
      <alignment vertical="center"/>
    </xf>
    <xf numFmtId="0" fontId="5" fillId="3" borderId="0" xfId="0" applyFont="1" applyFill="1">
      <alignment vertical="center"/>
    </xf>
    <xf numFmtId="0" fontId="0" fillId="4" borderId="0" xfId="0" applyFill="1">
      <alignment vertical="center"/>
    </xf>
    <xf numFmtId="9" fontId="0" fillId="4" borderId="0" xfId="2" applyFont="1" applyFill="1">
      <alignment vertical="center"/>
    </xf>
    <xf numFmtId="14" fontId="0" fillId="4" borderId="0" xfId="0" applyNumberFormat="1" applyFill="1">
      <alignment vertical="center"/>
    </xf>
    <xf numFmtId="9" fontId="0" fillId="4" borderId="0" xfId="0" applyNumberFormat="1" applyFill="1">
      <alignment vertical="center"/>
    </xf>
    <xf numFmtId="0" fontId="0" fillId="0" borderId="0" xfId="0" applyFill="1">
      <alignment vertical="center"/>
    </xf>
    <xf numFmtId="38" fontId="0" fillId="4" borderId="0" xfId="1" applyFont="1" applyFill="1">
      <alignment vertical="center"/>
    </xf>
    <xf numFmtId="38" fontId="0" fillId="2" borderId="0" xfId="1" applyFont="1" applyFill="1">
      <alignment vertical="center"/>
    </xf>
    <xf numFmtId="182" fontId="0" fillId="2" borderId="0" xfId="1" applyNumberFormat="1" applyFont="1" applyFill="1">
      <alignment vertical="center"/>
    </xf>
    <xf numFmtId="40" fontId="0" fillId="2" borderId="0" xfId="1" applyNumberFormat="1" applyFont="1" applyFill="1">
      <alignment vertical="center"/>
    </xf>
    <xf numFmtId="184" fontId="0" fillId="2" borderId="0" xfId="1" applyNumberFormat="1" applyFont="1" applyFill="1">
      <alignment vertical="center"/>
    </xf>
    <xf numFmtId="183" fontId="0" fillId="2" borderId="0" xfId="1" applyNumberFormat="1" applyFont="1" applyFill="1">
      <alignment vertical="center"/>
    </xf>
    <xf numFmtId="14" fontId="6" fillId="2" borderId="0" xfId="0" applyNumberFormat="1" applyFont="1" applyFill="1">
      <alignment vertical="center"/>
    </xf>
    <xf numFmtId="0" fontId="7" fillId="3" borderId="0" xfId="0" applyFont="1" applyFill="1">
      <alignment vertical="center"/>
    </xf>
    <xf numFmtId="10" fontId="0" fillId="2" borderId="0" xfId="2" applyNumberFormat="1" applyFont="1" applyFill="1">
      <alignment vertical="center"/>
    </xf>
    <xf numFmtId="0" fontId="0" fillId="3" borderId="0" xfId="0" applyNumberFormat="1" applyFill="1">
      <alignment vertical="center"/>
    </xf>
  </cellXfs>
  <cellStyles count="3">
    <cellStyle name="Comma [0]" xfId="1" builtinId="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P23"/>
  <sheetViews>
    <sheetView topLeftCell="C1" workbookViewId="0">
      <selection activeCell="E21" sqref="E21"/>
    </sheetView>
  </sheetViews>
  <sheetFormatPr defaultRowHeight="18.75"/>
  <cols>
    <col min="3" max="3" width="21.625" bestFit="1" customWidth="1"/>
    <col min="4" max="4" width="10.125" bestFit="1" customWidth="1"/>
    <col min="7" max="7" width="10.625" bestFit="1" customWidth="1"/>
    <col min="8" max="8" width="13" bestFit="1" customWidth="1"/>
    <col min="10" max="10" width="13.875" bestFit="1" customWidth="1"/>
    <col min="13" max="13" width="12.875" bestFit="1" customWidth="1"/>
  </cols>
  <sheetData>
    <row r="2" spans="3:16">
      <c r="C2" t="s">
        <v>0</v>
      </c>
    </row>
    <row r="3" spans="3:16">
      <c r="H3" t="s">
        <v>1</v>
      </c>
      <c r="J3" t="s">
        <v>2</v>
      </c>
    </row>
    <row r="4" spans="3:16">
      <c r="C4" t="s">
        <v>3</v>
      </c>
      <c r="E4">
        <v>10423</v>
      </c>
      <c r="G4" t="s">
        <v>4</v>
      </c>
      <c r="H4">
        <f ca="1">D5*EXP(-D11*E7)*_xlfn.NORM.S.DIST(N4,TRUE)-D8*EXP(-D12*E7)*_xlfn.NORM.S.DIST(N5,TRUE)</f>
        <v>2952.6267700883282</v>
      </c>
      <c r="J4">
        <f ca="1">D8*EXP(-D12*E7)*_xlfn.NORM.S.DIST(-N5,TRUE)-D5*EXP(-D11*E7)*_xlfn.NORM.S.DIST(-N4,TRUE)</f>
        <v>529.59740027922567</v>
      </c>
      <c r="M4" t="s">
        <v>5</v>
      </c>
      <c r="N4">
        <f ca="1">(LN(D5/D8)+(D12-D11+0.5*D10^2)*E7)/(D10*SQRT(E7))</f>
        <v>0.87017617909584477</v>
      </c>
      <c r="O4" t="s">
        <v>6</v>
      </c>
      <c r="P4">
        <f ca="1">_xlfn.NORM.S.DIST(N4,TRUE)</f>
        <v>0.8078979341636735</v>
      </c>
    </row>
    <row r="5" spans="3:16">
      <c r="C5" t="s">
        <v>7</v>
      </c>
      <c r="D5">
        <v>10423</v>
      </c>
      <c r="G5" t="s">
        <v>8</v>
      </c>
      <c r="H5">
        <f ca="1">EXP(-D11*E7)*_xlfn.NORM.S.DIST(N4,TRUE)</f>
        <v>0.8078979341636735</v>
      </c>
      <c r="J5">
        <f ca="1">-EXP(-D11*E7)*_xlfn.NORM.S.DIST(-N4,TRUE)</f>
        <v>-0.19210206583632652</v>
      </c>
      <c r="M5" t="s">
        <v>9</v>
      </c>
      <c r="N5">
        <f ca="1">N4-D10*SQRT(E7)</f>
        <v>0.47754844575748723</v>
      </c>
      <c r="O5" t="s">
        <v>10</v>
      </c>
      <c r="P5">
        <f ca="1">_xlfn.NORM.S.DIST(N5,TRUE)</f>
        <v>0.68351418404759312</v>
      </c>
    </row>
    <row r="6" spans="3:16">
      <c r="C6" t="s">
        <v>11</v>
      </c>
      <c r="D6" s="2">
        <f ca="1">TODAY()</f>
        <v>43914</v>
      </c>
      <c r="G6" t="s">
        <v>12</v>
      </c>
      <c r="H6">
        <f ca="1">EXP(-D12*E7)*_xlfn.NORM.S.DIST(N4,FALSE)/(D5*D10*SQRT(E7))</f>
        <v>6.6758941268640125E-5</v>
      </c>
      <c r="J6">
        <f ca="1">EXP(-D12*E7)*_xlfn.NORM.S.DIST(N4,FALSE)/(D5*D10*SQRT(E7))</f>
        <v>6.6758941268640125E-5</v>
      </c>
    </row>
    <row r="7" spans="3:16">
      <c r="C7" t="s">
        <v>13</v>
      </c>
      <c r="D7" s="2">
        <f ca="1">D6+134</f>
        <v>44048</v>
      </c>
      <c r="E7">
        <f ca="1">(D7-D6+0.0000000001)/365</f>
        <v>0.36712328767150681</v>
      </c>
      <c r="F7" t="s">
        <v>14</v>
      </c>
      <c r="G7" t="s">
        <v>15</v>
      </c>
      <c r="H7">
        <f ca="1">D5*SQRT(E7)*_xlfn.NORM.S.DIST(N4,FALSE)*EXP(-D11*E7)/100</f>
        <v>17.253747985496581</v>
      </c>
      <c r="J7">
        <f ca="1">D5*SQRT(E7)*_xlfn.NORM.S.DIST(N4,FALSE)*EXP(-D11*E7)/100</f>
        <v>17.253747985496581</v>
      </c>
    </row>
    <row r="8" spans="3:16">
      <c r="C8" t="s">
        <v>16</v>
      </c>
      <c r="D8">
        <v>8000</v>
      </c>
      <c r="G8" t="s">
        <v>17</v>
      </c>
    </row>
    <row r="9" spans="3:16">
      <c r="C9" t="s">
        <v>18</v>
      </c>
      <c r="G9" t="s">
        <v>19</v>
      </c>
      <c r="H9">
        <f ca="1">D8*E7*EXP(-D12*E7)*_xlfn.NORM.S.DIST(N5,TRUE)/100</f>
        <v>20.074644254583525</v>
      </c>
      <c r="J9">
        <f ca="1">-D8*E7*EXP(-D12*E7)*_xlfn.NORM.S.DIST(-N5,TRUE)/100</f>
        <v>-9.295110935728264</v>
      </c>
      <c r="M9" s="10">
        <f ca="1">-N5*H7*100/(D5*D10*SQRT(E7))</f>
        <v>-0.20133866082146273</v>
      </c>
    </row>
    <row r="10" spans="3:16">
      <c r="C10" t="s">
        <v>20</v>
      </c>
      <c r="D10" s="3">
        <v>0.64800000000000002</v>
      </c>
      <c r="G10" t="s">
        <v>21</v>
      </c>
      <c r="H10">
        <f ca="1">EXP(-D11*E7)*_xlfn.NORM.S.DIST(N4,FALSE)*(SQRT(E7)-N4/D10)</f>
        <v>-0.20133866082146276</v>
      </c>
      <c r="J10">
        <f ca="1">EXP(-D11*E7)*_xlfn.NORM.S.DIST(N4,FALSE)*(SQRT(E7)-N4/D10)</f>
        <v>-0.20133866082146276</v>
      </c>
    </row>
    <row r="11" spans="3:16">
      <c r="C11" t="s">
        <v>22</v>
      </c>
      <c r="D11" s="1">
        <v>0</v>
      </c>
      <c r="G11" t="s">
        <v>23</v>
      </c>
      <c r="H11">
        <f ca="1">H7/D10*N4*N5</f>
        <v>11.064532549851959</v>
      </c>
      <c r="J11">
        <f ca="1">H7/D10*N4*N5</f>
        <v>11.064532549851959</v>
      </c>
    </row>
    <row r="12" spans="3:16">
      <c r="C12" t="s">
        <v>24</v>
      </c>
      <c r="D12" s="3">
        <v>1.0000000000000001E-5</v>
      </c>
    </row>
    <row r="13" spans="3:16">
      <c r="G13" t="s">
        <v>25</v>
      </c>
    </row>
    <row r="14" spans="3:16">
      <c r="G14" s="11" t="s">
        <v>26</v>
      </c>
      <c r="H14" s="11"/>
      <c r="I14" s="11"/>
      <c r="J14" s="11"/>
    </row>
    <row r="15" spans="3:16">
      <c r="C15" t="s">
        <v>27</v>
      </c>
      <c r="G15" s="11" t="s">
        <v>4</v>
      </c>
      <c r="H15" s="11">
        <f ca="1">bs_price(D5,D10,D12,D11,E7,D8,"Call")</f>
        <v>2952.6267700883282</v>
      </c>
      <c r="I15" s="11"/>
      <c r="J15" s="11">
        <f ca="1">bs_price(D5,D10,D12,D11,E7,D8,"Put")</f>
        <v>529.59740027922567</v>
      </c>
    </row>
    <row r="16" spans="3:16">
      <c r="C16" t="s">
        <v>28</v>
      </c>
      <c r="G16" s="11" t="s">
        <v>8</v>
      </c>
      <c r="H16" s="11">
        <f ca="1">bs_delta(D5,D10,D12,D11,E7,D8,"Call")</f>
        <v>0.8078979341636735</v>
      </c>
      <c r="I16" s="11"/>
      <c r="J16" s="11">
        <f ca="1">bs_delta(D5,D10,D12,D11,E7,D8,"Put")</f>
        <v>-0.19210206583632652</v>
      </c>
    </row>
    <row r="17" spans="3:10">
      <c r="C17" t="s">
        <v>29</v>
      </c>
      <c r="G17" s="11" t="s">
        <v>12</v>
      </c>
      <c r="H17" s="11">
        <f ca="1">bs_gamma(D5,D10,D12,D11,E7,D8,"Call")</f>
        <v>6.6759186356710014E-5</v>
      </c>
      <c r="I17" s="11"/>
      <c r="J17" s="11">
        <f ca="1">bs_gamma(D5,D10,D12,D11,E7,D8,"Put")</f>
        <v>-6.6759186356710014E-5</v>
      </c>
    </row>
    <row r="18" spans="3:10">
      <c r="C18" t="s">
        <v>30</v>
      </c>
      <c r="G18" s="11" t="s">
        <v>31</v>
      </c>
      <c r="H18" s="11">
        <f ca="1">bs_vega(D5,D10,D12,D11,E7,D8,"Call")</f>
        <v>1725.3747985496582</v>
      </c>
      <c r="I18" s="11"/>
      <c r="J18" s="11">
        <f ca="1">bs_vega(D5,D10,D12,D11,E7,D8,"Put")</f>
        <v>1725.3747985496582</v>
      </c>
    </row>
    <row r="19" spans="3:10">
      <c r="G19" s="11" t="s">
        <v>32</v>
      </c>
      <c r="H19" s="11">
        <f ca="1">bs_theta1d(D5,D10,D12,D11,E7,D8,"Call")</f>
        <v>-4.1765057678931043</v>
      </c>
      <c r="I19" s="11"/>
      <c r="J19" s="11">
        <f ca="1">bs_theta1d(D5,D10,D12,D11,E7,D8,"Put")</f>
        <v>-4.1762865906121078</v>
      </c>
    </row>
    <row r="20" spans="3:10">
      <c r="G20" s="11" t="s">
        <v>33</v>
      </c>
      <c r="H20" s="11">
        <f ca="1">bs_rho_dom(D5,D10,D12,D11,E7,D8,"Call")</f>
        <v>2007.4644254583525</v>
      </c>
      <c r="I20" s="11"/>
      <c r="J20" s="11">
        <f ca="1">bs_rho_dom(D5,D10,D12,D11,E7,D8,"Put")</f>
        <v>-929.51109357282633</v>
      </c>
    </row>
    <row r="21" spans="3:10">
      <c r="G21" s="11" t="s">
        <v>34</v>
      </c>
      <c r="H21" s="11">
        <f ca="1">bs_rho_for(D5,D10,D12,D11,E7,D8,"Call")</f>
        <v>-3091.4424725600816</v>
      </c>
      <c r="I21" s="11"/>
      <c r="J21" s="11">
        <f ca="1">bs_rho_for(D5,D10,D12,D11,E7,D8,"Put")</f>
        <v>1211.0412120448475</v>
      </c>
    </row>
    <row r="22" spans="3:10">
      <c r="G22" s="11" t="s">
        <v>35</v>
      </c>
      <c r="H22" s="11">
        <f ca="1">bs_vanna(D5,D10,D12,D11,E7,D8,"Call")</f>
        <v>-0.20133866082146279</v>
      </c>
      <c r="I22" s="11"/>
      <c r="J22" s="11">
        <f ca="1">bs_vanna(D5,D10,D12,D11,E7,D8,"Put")</f>
        <v>-0.20133866082146279</v>
      </c>
    </row>
    <row r="23" spans="3:10">
      <c r="G23" s="11" t="s">
        <v>36</v>
      </c>
      <c r="H23" s="11">
        <f ca="1">bs_volga(D5,D10,D12,D11,E7,D8,"Call")</f>
        <v>1106.4532549851961</v>
      </c>
      <c r="I23" s="11"/>
      <c r="J23" s="11">
        <f ca="1">bs_volga(D5,D10,D12,D11,E7,D8,"Put")</f>
        <v>1106.4532549851961</v>
      </c>
    </row>
  </sheetData>
  <phoneticPr fontId="2"/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6"/>
  <sheetViews>
    <sheetView workbookViewId="0">
      <selection activeCell="B12" sqref="B12"/>
    </sheetView>
  </sheetViews>
  <sheetFormatPr defaultRowHeight="18.75"/>
  <cols>
    <col min="2" max="2" width="14.75" customWidth="1"/>
    <col min="3" max="3" width="21.25" bestFit="1" customWidth="1"/>
    <col min="8" max="8" width="18.875" bestFit="1" customWidth="1"/>
    <col min="14" max="14" width="21.25" bestFit="1" customWidth="1"/>
  </cols>
  <sheetData>
    <row r="1" spans="1:15">
      <c r="A1" t="s">
        <v>37</v>
      </c>
      <c r="O1" t="s">
        <v>38</v>
      </c>
    </row>
    <row r="2" spans="1:15">
      <c r="O2" s="4" t="s">
        <v>39</v>
      </c>
    </row>
    <row r="3" spans="1:15">
      <c r="B3" t="s">
        <v>40</v>
      </c>
      <c r="C3">
        <v>134</v>
      </c>
      <c r="E3">
        <f>(C3+0.0000000001)/365</f>
        <v>0.36712328767150681</v>
      </c>
      <c r="O3" s="4" t="s">
        <v>41</v>
      </c>
    </row>
    <row r="4" spans="1:15">
      <c r="O4" s="4" t="s">
        <v>42</v>
      </c>
    </row>
    <row r="5" spans="1:15">
      <c r="B5" t="s">
        <v>43</v>
      </c>
      <c r="C5">
        <v>10000</v>
      </c>
      <c r="O5" s="4" t="s">
        <v>44</v>
      </c>
    </row>
    <row r="6" spans="1:15">
      <c r="B6" t="s">
        <v>16</v>
      </c>
      <c r="C6">
        <v>11000</v>
      </c>
    </row>
    <row r="7" spans="1:15">
      <c r="B7" t="s">
        <v>45</v>
      </c>
      <c r="C7" s="1">
        <v>0</v>
      </c>
    </row>
    <row r="8" spans="1:15">
      <c r="B8" t="s">
        <v>46</v>
      </c>
      <c r="C8" s="1">
        <v>0</v>
      </c>
    </row>
    <row r="9" spans="1:15">
      <c r="A9" t="s">
        <v>47</v>
      </c>
    </row>
    <row r="10" spans="1:15">
      <c r="A10" t="s">
        <v>48</v>
      </c>
      <c r="B10" t="s">
        <v>49</v>
      </c>
      <c r="C10">
        <v>1200</v>
      </c>
    </row>
    <row r="11" spans="1:15">
      <c r="B11" t="s">
        <v>50</v>
      </c>
      <c r="L11" t="s">
        <v>5</v>
      </c>
      <c r="M11" t="s">
        <v>9</v>
      </c>
      <c r="N11" t="s">
        <v>51</v>
      </c>
      <c r="O11" t="s">
        <v>52</v>
      </c>
    </row>
    <row r="12" spans="1:15">
      <c r="B12" t="s">
        <v>53</v>
      </c>
      <c r="C12" s="1">
        <v>0.4</v>
      </c>
      <c r="E12" t="s">
        <v>54</v>
      </c>
      <c r="F12">
        <f>$C$5*SQRT($E$3)*_xlfn.NORM.S.DIST(L12,FALSE)*EXP(-$C$7*$E$3)</f>
        <v>2329.3889690089204</v>
      </c>
      <c r="H12" s="8"/>
      <c r="L12" s="5">
        <f>(LN($C$5/$C$6)+($C$8-$C$7+0.5*C12^2)*$E$3)/(C12*SQRT($E$3))</f>
        <v>-0.27207276544757264</v>
      </c>
      <c r="M12">
        <f>L12-C12*SQRT($E$3)</f>
        <v>-0.51443556380458344</v>
      </c>
      <c r="N12" s="6">
        <f>EXP(-$C$7*$E$3)*$C$5*_xlfn.NORM.S.DIST(L12,TRUE)-EXP(-$C$8*$E$3)*$C$6*_xlfn.NORM.S.DIST(M12,TRUE)</f>
        <v>589.61909887579031</v>
      </c>
      <c r="O12">
        <f>EXP(-$C$8*$E$3)*$C$6*_xlfn.NORM.S.DIST(-M12,TRUE)-EXP(-$C$7*$E$3)*$C$5*_xlfn.NORM.S.DIST(-L12,TRUE)</f>
        <v>1589.6190988757899</v>
      </c>
    </row>
    <row r="13" spans="1:15">
      <c r="B13" t="s">
        <v>55</v>
      </c>
      <c r="C13" s="7">
        <f>C12+($C$10-IF($B$10="Call",N12,O12))/F12</f>
        <v>0.66203476930858263</v>
      </c>
      <c r="F13">
        <f t="shared" ref="F13:F19" si="0">$C$5*SQRT($E$3)*_xlfn.NORM.S.DIST(L13,FALSE)*EXP(-$C$7*$E$3)</f>
        <v>2415.5618056051276</v>
      </c>
      <c r="L13" s="5">
        <f t="shared" ref="L13:L23" si="1">(LN($C$5/$C$6)+($C$8-$C$7+0.5*C13^2)*$E$3)/(C13*SQRT($E$3))</f>
        <v>-3.7037581007224867E-2</v>
      </c>
      <c r="M13">
        <f t="shared" ref="M13:M23" si="2">L13-C13*SQRT($E$3)</f>
        <v>-0.43816907925539034</v>
      </c>
      <c r="N13" s="6">
        <f t="shared" ref="N13:N23" si="3">EXP(-$C$7*$E$3)*$C$5*_xlfn.NORM.S.DIST(L13,TRUE)-EXP(-$C$8*$E$3)*$C$6*_xlfn.NORM.S.DIST(M13,TRUE)</f>
        <v>1215.3247371254752</v>
      </c>
      <c r="O13">
        <f t="shared" ref="O13:O23" si="4">EXP(-$C$8*$E$3)*$C$6*_xlfn.NORM.S.DIST(-M13,TRUE)-EXP(-$C$7*$E$3)*$C$5*_xlfn.NORM.S.DIST(-L13,TRUE)</f>
        <v>2215.3247371254747</v>
      </c>
    </row>
    <row r="14" spans="1:15">
      <c r="C14" s="7">
        <f t="shared" ref="C14:C19" si="5">C13+($C$10-IF($B$10="Call",N13,O13))/F13</f>
        <v>0.65569059832114807</v>
      </c>
      <c r="F14">
        <f t="shared" si="0"/>
        <v>2415.1626880354961</v>
      </c>
      <c r="H14" s="9"/>
      <c r="L14" s="5">
        <f t="shared" si="1"/>
        <v>-4.1258514084129665E-2</v>
      </c>
      <c r="M14">
        <f t="shared" si="2"/>
        <v>-0.43854603474787013</v>
      </c>
      <c r="N14" s="6">
        <f t="shared" si="3"/>
        <v>1200.0012411060793</v>
      </c>
      <c r="O14">
        <f t="shared" si="4"/>
        <v>2200.0012411060798</v>
      </c>
    </row>
    <row r="15" spans="1:15">
      <c r="C15" s="7">
        <f t="shared" si="5"/>
        <v>0.65569008444020516</v>
      </c>
      <c r="F15">
        <f t="shared" si="0"/>
        <v>2415.1626537870625</v>
      </c>
      <c r="L15" s="5">
        <f t="shared" si="1"/>
        <v>-4.1258857783653562E-2</v>
      </c>
      <c r="M15">
        <f t="shared" si="2"/>
        <v>-0.43854606708333566</v>
      </c>
      <c r="N15" s="6">
        <f t="shared" si="3"/>
        <v>1200.0000000000095</v>
      </c>
      <c r="O15">
        <f t="shared" si="4"/>
        <v>2200.0000000000091</v>
      </c>
    </row>
    <row r="16" spans="1:15">
      <c r="C16" s="7">
        <f t="shared" si="5"/>
        <v>0.65569008444020116</v>
      </c>
      <c r="F16">
        <f t="shared" si="0"/>
        <v>2415.1626537870625</v>
      </c>
      <c r="L16" s="5">
        <f t="shared" si="1"/>
        <v>-4.1258857783656219E-2</v>
      </c>
      <c r="M16">
        <f t="shared" si="2"/>
        <v>-0.43854606708333593</v>
      </c>
      <c r="N16" s="6">
        <f t="shared" si="3"/>
        <v>1200</v>
      </c>
      <c r="O16">
        <f t="shared" si="4"/>
        <v>2200</v>
      </c>
    </row>
    <row r="17" spans="2:15">
      <c r="C17" s="7">
        <f t="shared" si="5"/>
        <v>0.65569008444020116</v>
      </c>
      <c r="F17">
        <f t="shared" si="0"/>
        <v>2415.1626537870625</v>
      </c>
      <c r="L17" s="5">
        <f t="shared" si="1"/>
        <v>-4.1258857783656219E-2</v>
      </c>
      <c r="M17">
        <f t="shared" si="2"/>
        <v>-0.43854606708333593</v>
      </c>
      <c r="N17" s="6">
        <f t="shared" si="3"/>
        <v>1200</v>
      </c>
      <c r="O17">
        <f t="shared" si="4"/>
        <v>2200</v>
      </c>
    </row>
    <row r="18" spans="2:15">
      <c r="C18" s="7">
        <f t="shared" si="5"/>
        <v>0.65569008444020116</v>
      </c>
      <c r="F18">
        <f t="shared" si="0"/>
        <v>2415.1626537870625</v>
      </c>
      <c r="L18" s="5">
        <f t="shared" si="1"/>
        <v>-4.1258857783656219E-2</v>
      </c>
      <c r="M18">
        <f t="shared" si="2"/>
        <v>-0.43854606708333593</v>
      </c>
      <c r="N18" s="6">
        <f t="shared" si="3"/>
        <v>1200</v>
      </c>
      <c r="O18">
        <f t="shared" si="4"/>
        <v>2200</v>
      </c>
    </row>
    <row r="19" spans="2:15">
      <c r="C19" s="7">
        <f t="shared" si="5"/>
        <v>0.65569008444020116</v>
      </c>
      <c r="F19">
        <f t="shared" si="0"/>
        <v>2415.1626537870625</v>
      </c>
      <c r="L19" s="5">
        <f t="shared" si="1"/>
        <v>-4.1258857783656219E-2</v>
      </c>
      <c r="M19">
        <f t="shared" si="2"/>
        <v>-0.43854606708333593</v>
      </c>
      <c r="N19" s="6">
        <f t="shared" si="3"/>
        <v>1200</v>
      </c>
      <c r="O19">
        <f t="shared" si="4"/>
        <v>2200</v>
      </c>
    </row>
    <row r="20" spans="2:15">
      <c r="L20" s="5" t="e">
        <f t="shared" si="1"/>
        <v>#DIV/0!</v>
      </c>
      <c r="M20" t="e">
        <f t="shared" si="2"/>
        <v>#DIV/0!</v>
      </c>
      <c r="N20" s="6" t="e">
        <f t="shared" si="3"/>
        <v>#DIV/0!</v>
      </c>
      <c r="O20" t="e">
        <f t="shared" si="4"/>
        <v>#DIV/0!</v>
      </c>
    </row>
    <row r="21" spans="2:15">
      <c r="C21" s="7"/>
      <c r="L21" s="5" t="e">
        <f t="shared" si="1"/>
        <v>#DIV/0!</v>
      </c>
      <c r="M21" t="e">
        <f t="shared" si="2"/>
        <v>#DIV/0!</v>
      </c>
      <c r="N21" s="6" t="e">
        <f t="shared" si="3"/>
        <v>#DIV/0!</v>
      </c>
      <c r="O21" t="e">
        <f t="shared" si="4"/>
        <v>#DIV/0!</v>
      </c>
    </row>
    <row r="22" spans="2:15">
      <c r="L22" s="5" t="e">
        <f t="shared" si="1"/>
        <v>#DIV/0!</v>
      </c>
      <c r="M22" t="e">
        <f t="shared" si="2"/>
        <v>#DIV/0!</v>
      </c>
      <c r="N22" s="6" t="e">
        <f t="shared" si="3"/>
        <v>#DIV/0!</v>
      </c>
      <c r="O22" t="e">
        <f t="shared" si="4"/>
        <v>#DIV/0!</v>
      </c>
    </row>
    <row r="23" spans="2:15">
      <c r="B23" t="s">
        <v>56</v>
      </c>
      <c r="L23" s="5" t="e">
        <f t="shared" si="1"/>
        <v>#DIV/0!</v>
      </c>
      <c r="M23" t="e">
        <f t="shared" si="2"/>
        <v>#DIV/0!</v>
      </c>
      <c r="N23" s="6" t="e">
        <f t="shared" si="3"/>
        <v>#DIV/0!</v>
      </c>
      <c r="O23" t="e">
        <f t="shared" si="4"/>
        <v>#DIV/0!</v>
      </c>
    </row>
    <row r="24" spans="2:15">
      <c r="B24" t="s">
        <v>57</v>
      </c>
      <c r="C24" s="12">
        <f>bs_IV_Bis(C10,C5,C8,C7,E3,C6,"Call")</f>
        <v>0.65569009942723067</v>
      </c>
    </row>
    <row r="26" spans="2:15">
      <c r="B26" t="s">
        <v>58</v>
      </c>
      <c r="C26" s="12">
        <f>bs_IV_Bis(C10,C5,C8,C7,E3,C6,"Put")</f>
        <v>0.22280887683667983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55"/>
  <sheetViews>
    <sheetView workbookViewId="0">
      <selection activeCell="H32" sqref="H32"/>
    </sheetView>
  </sheetViews>
  <sheetFormatPr defaultRowHeight="18.75"/>
  <cols>
    <col min="1" max="1" width="12.375" bestFit="1" customWidth="1"/>
    <col min="2" max="2" width="10.125" bestFit="1" customWidth="1"/>
    <col min="4" max="6" width="10.125" bestFit="1" customWidth="1"/>
  </cols>
  <sheetData>
    <row r="1" spans="1:6">
      <c r="A1" t="s">
        <v>59</v>
      </c>
      <c r="B1" s="2">
        <f ca="1">TODAY()</f>
        <v>43914</v>
      </c>
    </row>
    <row r="2" spans="1:6">
      <c r="A2" t="s">
        <v>60</v>
      </c>
      <c r="B2" s="13">
        <v>10000</v>
      </c>
    </row>
    <row r="3" spans="1:6">
      <c r="A3" t="s">
        <v>61</v>
      </c>
      <c r="B3" s="2" t="s">
        <v>62</v>
      </c>
    </row>
    <row r="4" spans="1:6">
      <c r="A4" t="s">
        <v>63</v>
      </c>
      <c r="B4" s="1">
        <v>0</v>
      </c>
    </row>
    <row r="5" spans="1:6">
      <c r="A5" t="s">
        <v>64</v>
      </c>
      <c r="B5" s="1">
        <v>0</v>
      </c>
    </row>
    <row r="6" spans="1:6">
      <c r="A6" t="s">
        <v>65</v>
      </c>
      <c r="B6" s="2" t="s">
        <v>2</v>
      </c>
    </row>
    <row r="7" spans="1:6">
      <c r="A7" t="s">
        <v>66</v>
      </c>
      <c r="B7">
        <v>365</v>
      </c>
      <c r="C7" t="s">
        <v>67</v>
      </c>
      <c r="D7" s="2">
        <v>43941</v>
      </c>
      <c r="E7" s="2">
        <v>43971</v>
      </c>
      <c r="F7" s="2">
        <v>44002</v>
      </c>
    </row>
    <row r="8" spans="1:6">
      <c r="C8" t="s">
        <v>40</v>
      </c>
      <c r="D8" s="14">
        <f ca="1">(D7-$B$1)/$B$7</f>
        <v>7.3972602739726029E-2</v>
      </c>
      <c r="E8" s="14">
        <f t="shared" ref="E8:F8" ca="1" si="0">(E7-$B$1)/$B$7</f>
        <v>0.15616438356164383</v>
      </c>
      <c r="F8" s="14">
        <f t="shared" ca="1" si="0"/>
        <v>0.24109589041095891</v>
      </c>
    </row>
    <row r="9" spans="1:6">
      <c r="B9" t="s">
        <v>68</v>
      </c>
      <c r="C9" t="s">
        <v>69</v>
      </c>
    </row>
    <row r="10" spans="1:6">
      <c r="B10" s="1">
        <v>0.4</v>
      </c>
      <c r="C10">
        <v>8000</v>
      </c>
      <c r="D10">
        <f t="shared" ref="D10:F29" ca="1" si="1">IF($B$3="価格",bs_price($B$2,$B10,$B$5,$B$4,D$8,$C10,$B$6),IF($B$3="delta",bs_delta($B$2,$B10,$B$5,$B$4,D$8,$C10,$B$6)))</f>
        <v>7.1884482015363638</v>
      </c>
      <c r="E10">
        <f t="shared" ca="1" si="1"/>
        <v>50.412373194080402</v>
      </c>
      <c r="F10">
        <f t="shared" ca="1" si="1"/>
        <v>111.8220709012695</v>
      </c>
    </row>
    <row r="11" spans="1:6">
      <c r="B11" s="1">
        <v>0.4</v>
      </c>
      <c r="C11">
        <f>C10+100</f>
        <v>8100</v>
      </c>
      <c r="D11">
        <f t="shared" ca="1" si="1"/>
        <v>9.8168660964634533</v>
      </c>
      <c r="E11">
        <f t="shared" ca="1" si="1"/>
        <v>60.214188689892033</v>
      </c>
      <c r="F11">
        <f t="shared" ca="1" si="1"/>
        <v>127.54109553668606</v>
      </c>
    </row>
    <row r="12" spans="1:6">
      <c r="B12" s="1">
        <v>0.4</v>
      </c>
      <c r="C12">
        <f t="shared" ref="C12:C55" si="2">C11+100</f>
        <v>8200</v>
      </c>
      <c r="D12">
        <f t="shared" ca="1" si="1"/>
        <v>13.216520328583504</v>
      </c>
      <c r="E12">
        <f t="shared" ca="1" si="1"/>
        <v>71.435346585399941</v>
      </c>
      <c r="F12">
        <f t="shared" ca="1" si="1"/>
        <v>144.81931785467663</v>
      </c>
    </row>
    <row r="13" spans="1:6">
      <c r="B13" s="1">
        <v>0.4</v>
      </c>
      <c r="C13">
        <f t="shared" si="2"/>
        <v>8300</v>
      </c>
      <c r="D13">
        <f t="shared" ca="1" si="1"/>
        <v>17.551826395519775</v>
      </c>
      <c r="E13">
        <f t="shared" ca="1" si="1"/>
        <v>84.197116162131053</v>
      </c>
      <c r="F13">
        <f t="shared" ca="1" si="1"/>
        <v>163.73119467918534</v>
      </c>
    </row>
    <row r="14" spans="1:6">
      <c r="B14" s="1">
        <v>0.4</v>
      </c>
      <c r="C14">
        <f t="shared" si="2"/>
        <v>8400</v>
      </c>
      <c r="D14">
        <f t="shared" ca="1" si="1"/>
        <v>23.005588673704651</v>
      </c>
      <c r="E14">
        <f t="shared" ca="1" si="1"/>
        <v>98.619627795490828</v>
      </c>
      <c r="F14">
        <f t="shared" ca="1" si="1"/>
        <v>184.34723362624371</v>
      </c>
    </row>
    <row r="15" spans="1:6">
      <c r="B15" s="1">
        <v>0.4</v>
      </c>
      <c r="C15">
        <f t="shared" si="2"/>
        <v>8500</v>
      </c>
      <c r="D15">
        <f t="shared" ca="1" si="1"/>
        <v>29.777361015355886</v>
      </c>
      <c r="E15">
        <f t="shared" ca="1" si="1"/>
        <v>114.82048545310126</v>
      </c>
      <c r="F15">
        <f t="shared" ca="1" si="1"/>
        <v>206.73345764707281</v>
      </c>
    </row>
    <row r="16" spans="1:6">
      <c r="B16" s="1">
        <v>0.4</v>
      </c>
      <c r="C16">
        <f t="shared" si="2"/>
        <v>8600</v>
      </c>
      <c r="D16">
        <f t="shared" ca="1" si="1"/>
        <v>38.081001767896296</v>
      </c>
      <c r="E16">
        <f t="shared" ca="1" si="1"/>
        <v>132.91339574340776</v>
      </c>
      <c r="F16">
        <f t="shared" ca="1" si="1"/>
        <v>230.95092538194513</v>
      </c>
    </row>
    <row r="17" spans="2:6">
      <c r="B17" s="1">
        <v>0.4</v>
      </c>
      <c r="C17">
        <f t="shared" si="2"/>
        <v>8700</v>
      </c>
      <c r="D17">
        <f t="shared" ca="1" si="1"/>
        <v>48.141459364694789</v>
      </c>
      <c r="E17">
        <f t="shared" ca="1" si="1"/>
        <v>153.00684351502468</v>
      </c>
      <c r="F17">
        <f t="shared" ca="1" si="1"/>
        <v>257.05531240372301</v>
      </c>
    </row>
    <row r="18" spans="2:6">
      <c r="B18" s="1">
        <v>0.4</v>
      </c>
      <c r="C18">
        <f t="shared" si="2"/>
        <v>8800</v>
      </c>
      <c r="D18">
        <f t="shared" ca="1" si="1"/>
        <v>60.190871613362653</v>
      </c>
      <c r="E18">
        <f t="shared" ca="1" si="1"/>
        <v>175.20284205854136</v>
      </c>
      <c r="F18">
        <f t="shared" ca="1" si="1"/>
        <v>285.09655707702063</v>
      </c>
    </row>
    <row r="19" spans="2:6">
      <c r="B19" s="1">
        <v>0.4</v>
      </c>
      <c r="C19">
        <f t="shared" si="2"/>
        <v>8900</v>
      </c>
      <c r="D19">
        <f t="shared" ca="1" si="1"/>
        <v>74.464105320053093</v>
      </c>
      <c r="E19">
        <f t="shared" ca="1" si="1"/>
        <v>199.59578319127831</v>
      </c>
      <c r="F19">
        <f t="shared" ca="1" si="1"/>
        <v>315.11857341979061</v>
      </c>
    </row>
    <row r="20" spans="2:6">
      <c r="B20" s="1">
        <v>0.4</v>
      </c>
      <c r="C20">
        <f t="shared" si="2"/>
        <v>9000</v>
      </c>
      <c r="D20">
        <f t="shared" ca="1" si="1"/>
        <v>91.193899462384906</v>
      </c>
      <c r="E20">
        <f t="shared" ca="1" si="1"/>
        <v>226.27140906577691</v>
      </c>
      <c r="F20">
        <f t="shared" ca="1" si="1"/>
        <v>347.15903206126205</v>
      </c>
    </row>
    <row r="21" spans="2:6">
      <c r="B21" s="1">
        <v>0.4</v>
      </c>
      <c r="C21">
        <f t="shared" si="2"/>
        <v>9100</v>
      </c>
      <c r="D21">
        <f t="shared" ca="1" si="1"/>
        <v>110.60580189762555</v>
      </c>
      <c r="E21">
        <f t="shared" ca="1" si="1"/>
        <v>255.30592360432988</v>
      </c>
      <c r="F21">
        <f t="shared" ca="1" si="1"/>
        <v>381.24920917084734</v>
      </c>
    </row>
    <row r="22" spans="2:6">
      <c r="B22" s="1">
        <v>0.4</v>
      </c>
      <c r="C22">
        <f t="shared" si="2"/>
        <v>9200</v>
      </c>
      <c r="D22">
        <f t="shared" ca="1" si="1"/>
        <v>132.9131045787758</v>
      </c>
      <c r="E22">
        <f t="shared" ca="1" si="1"/>
        <v>286.76525720096311</v>
      </c>
      <c r="F22">
        <f t="shared" ca="1" si="1"/>
        <v>417.41390210973475</v>
      </c>
    </row>
    <row r="23" spans="2:6">
      <c r="B23" s="1">
        <v>0.4</v>
      </c>
      <c r="C23">
        <f t="shared" si="2"/>
        <v>9300</v>
      </c>
      <c r="D23">
        <f t="shared" ca="1" si="1"/>
        <v>158.31198449470483</v>
      </c>
      <c r="E23">
        <f t="shared" ca="1" si="1"/>
        <v>320.70449392279869</v>
      </c>
      <c r="F23">
        <f t="shared" ca="1" si="1"/>
        <v>455.67140954766978</v>
      </c>
    </row>
    <row r="24" spans="2:6">
      <c r="B24" s="1">
        <v>0.4</v>
      </c>
      <c r="C24">
        <f t="shared" si="2"/>
        <v>9400</v>
      </c>
      <c r="D24">
        <f t="shared" ca="1" si="1"/>
        <v>186.97704717384551</v>
      </c>
      <c r="E24">
        <f t="shared" ca="1" si="1"/>
        <v>357.16746604856058</v>
      </c>
      <c r="F24">
        <f t="shared" ca="1" si="1"/>
        <v>496.0335729045857</v>
      </c>
    </row>
    <row r="25" spans="2:6">
      <c r="B25" s="1">
        <v>0.4</v>
      </c>
      <c r="C25">
        <f t="shared" si="2"/>
        <v>9500</v>
      </c>
      <c r="D25">
        <f t="shared" ca="1" si="1"/>
        <v>219.05744772422997</v>
      </c>
      <c r="E25">
        <f t="shared" ca="1" si="1"/>
        <v>396.18651655066293</v>
      </c>
      <c r="F25">
        <f t="shared" ca="1" si="1"/>
        <v>538.50587522792841</v>
      </c>
    </row>
    <row r="26" spans="2:6">
      <c r="B26" s="1">
        <v>0.4</v>
      </c>
      <c r="C26">
        <f t="shared" si="2"/>
        <v>9600</v>
      </c>
      <c r="D26">
        <f t="shared" ca="1" si="1"/>
        <v>254.67373299968315</v>
      </c>
      <c r="E26">
        <f t="shared" ca="1" si="1"/>
        <v>437.78242618584369</v>
      </c>
      <c r="F26">
        <f t="shared" ca="1" si="1"/>
        <v>583.08759300519125</v>
      </c>
    </row>
    <row r="27" spans="2:6">
      <c r="B27" s="1">
        <v>0.4</v>
      </c>
      <c r="C27">
        <f t="shared" si="2"/>
        <v>9700</v>
      </c>
      <c r="D27">
        <f t="shared" ca="1" si="1"/>
        <v>293.91551016787622</v>
      </c>
      <c r="E27">
        <f t="shared" ca="1" si="1"/>
        <v>481.96449831025416</v>
      </c>
      <c r="F27">
        <f t="shared" ca="1" si="1"/>
        <v>629.77199593686362</v>
      </c>
    </row>
    <row r="28" spans="2:6">
      <c r="B28" s="1">
        <v>0.4</v>
      </c>
      <c r="C28">
        <f t="shared" si="2"/>
        <v>9800</v>
      </c>
      <c r="D28">
        <f t="shared" ca="1" si="1"/>
        <v>336.8400046372156</v>
      </c>
      <c r="E28">
        <f t="shared" ca="1" si="1"/>
        <v>528.73079145611086</v>
      </c>
      <c r="F28">
        <f t="shared" ca="1" si="1"/>
        <v>678.54658935377347</v>
      </c>
    </row>
    <row r="29" spans="2:6">
      <c r="B29" s="1">
        <v>0.4</v>
      </c>
      <c r="C29">
        <f t="shared" si="2"/>
        <v>9900</v>
      </c>
      <c r="D29">
        <f t="shared" ca="1" si="1"/>
        <v>383.47152696893107</v>
      </c>
      <c r="E29">
        <f t="shared" ca="1" si="1"/>
        <v>578.0684871501071</v>
      </c>
      <c r="F29">
        <f t="shared" ca="1" si="1"/>
        <v>729.39339374799818</v>
      </c>
    </row>
    <row r="30" spans="2:6">
      <c r="B30" s="1">
        <v>0.4</v>
      </c>
      <c r="C30">
        <f t="shared" si="2"/>
        <v>10000</v>
      </c>
      <c r="D30">
        <f t="shared" ref="D30:F49" ca="1" si="3">IF($B$3="価格",bs_price($B$2,$B30,$B$5,$B$4,D$8,$C30,$B$6),IF($B$3="delta",bs_delta($B$2,$B30,$B$5,$B$4,D$8,$C30,$B$6)))</f>
        <v>433.80182686599102</v>
      </c>
      <c r="E30">
        <f t="shared" ca="1" si="3"/>
        <v>629.95437844652838</v>
      </c>
      <c r="F30">
        <f t="shared" ca="1" si="3"/>
        <v>782.289255789197</v>
      </c>
    </row>
    <row r="31" spans="2:6">
      <c r="B31" s="1">
        <v>0.4</v>
      </c>
      <c r="C31">
        <f t="shared" si="2"/>
        <v>10100</v>
      </c>
      <c r="D31">
        <f t="shared" ca="1" si="3"/>
        <v>487.79127500739753</v>
      </c>
      <c r="E31">
        <f t="shared" ca="1" si="3"/>
        <v>684.35546319523178</v>
      </c>
      <c r="F31">
        <f t="shared" ca="1" si="3"/>
        <v>837.20618520766561</v>
      </c>
    </row>
    <row r="32" spans="2:6">
      <c r="B32" s="1">
        <v>0.4</v>
      </c>
      <c r="C32">
        <f t="shared" si="2"/>
        <v>10200</v>
      </c>
      <c r="D32">
        <f t="shared" ca="1" si="3"/>
        <v>545.37078226275071</v>
      </c>
      <c r="E32">
        <f t="shared" ca="1" si="3"/>
        <v>741.22962515178415</v>
      </c>
      <c r="F32">
        <f t="shared" ca="1" si="3"/>
        <v>894.11171202974595</v>
      </c>
    </row>
    <row r="33" spans="2:6">
      <c r="B33" s="1">
        <v>0.4</v>
      </c>
      <c r="C33">
        <f t="shared" si="2"/>
        <v>10300</v>
      </c>
      <c r="D33">
        <f t="shared" ca="1" si="3"/>
        <v>606.44434193522204</v>
      </c>
      <c r="E33">
        <f t="shared" ca="1" si="3"/>
        <v>800.52638563266078</v>
      </c>
      <c r="F33">
        <f t="shared" ca="1" si="3"/>
        <v>952.96925883793813</v>
      </c>
    </row>
    <row r="34" spans="2:6">
      <c r="B34" s="1">
        <v>0.4</v>
      </c>
      <c r="C34">
        <f t="shared" si="2"/>
        <v>10400</v>
      </c>
      <c r="D34">
        <f t="shared" ca="1" si="3"/>
        <v>670.89206476139532</v>
      </c>
      <c r="E34">
        <f t="shared" ca="1" si="3"/>
        <v>862.18770847816381</v>
      </c>
      <c r="F34">
        <f t="shared" ca="1" si="3"/>
        <v>1013.7385229841257</v>
      </c>
    </row>
    <row r="35" spans="2:6">
      <c r="B35" s="1">
        <v>0.4</v>
      </c>
      <c r="C35">
        <f t="shared" si="2"/>
        <v>10500</v>
      </c>
      <c r="D35">
        <f t="shared" ca="1" si="3"/>
        <v>738.57356846362336</v>
      </c>
      <c r="E35">
        <f t="shared" ca="1" si="3"/>
        <v>926.14884155548555</v>
      </c>
      <c r="F35">
        <f t="shared" ca="1" si="3"/>
        <v>1076.3758639970715</v>
      </c>
    </row>
    <row r="36" spans="2:6">
      <c r="B36" s="1">
        <v>0.4</v>
      </c>
      <c r="C36">
        <f t="shared" si="2"/>
        <v>10600</v>
      </c>
      <c r="D36">
        <f t="shared" ca="1" si="3"/>
        <v>809.33158320565519</v>
      </c>
      <c r="E36">
        <f t="shared" ca="1" si="3"/>
        <v>992.33917885341555</v>
      </c>
      <c r="F36">
        <f t="shared" ca="1" si="3"/>
        <v>1140.8346917822989</v>
      </c>
    </row>
    <row r="37" spans="2:6">
      <c r="B37" s="1">
        <v>0.4</v>
      </c>
      <c r="C37">
        <f t="shared" si="2"/>
        <v>10700</v>
      </c>
      <c r="D37">
        <f t="shared" ca="1" si="3"/>
        <v>882.99564043801263</v>
      </c>
      <c r="E37">
        <f t="shared" ca="1" si="3"/>
        <v>1060.6831283252304</v>
      </c>
      <c r="F37">
        <f t="shared" ca="1" si="3"/>
        <v>1207.0658516017115</v>
      </c>
    </row>
    <row r="38" spans="2:6">
      <c r="B38" s="1">
        <v>0.4</v>
      </c>
      <c r="C38">
        <f t="shared" si="2"/>
        <v>10800</v>
      </c>
      <c r="D38">
        <f t="shared" ca="1" si="3"/>
        <v>959.38572414488283</v>
      </c>
      <c r="E38">
        <f t="shared" ca="1" si="3"/>
        <v>1131.1009719625147</v>
      </c>
      <c r="F38">
        <f t="shared" ca="1" si="3"/>
        <v>1275.0180022312193</v>
      </c>
    </row>
    <row r="39" spans="2:6">
      <c r="B39" s="1">
        <v>0.4</v>
      </c>
      <c r="C39">
        <f t="shared" si="2"/>
        <v>10900</v>
      </c>
      <c r="D39">
        <f t="shared" ca="1" si="3"/>
        <v>1038.3157790713715</v>
      </c>
      <c r="E39">
        <f t="shared" ca="1" si="3"/>
        <v>1203.5097060679857</v>
      </c>
      <c r="F39">
        <f t="shared" ca="1" si="3"/>
        <v>1344.6379841168505</v>
      </c>
    </row>
    <row r="40" spans="2:6">
      <c r="B40" s="1">
        <v>0.4</v>
      </c>
      <c r="C40">
        <f t="shared" si="2"/>
        <v>11000</v>
      </c>
      <c r="D40">
        <f t="shared" ca="1" si="3"/>
        <v>1119.5969887310557</v>
      </c>
      <c r="E40">
        <f t="shared" ca="1" si="3"/>
        <v>1277.8238512807327</v>
      </c>
      <c r="F40">
        <f t="shared" ca="1" si="3"/>
        <v>1415.8711747747482</v>
      </c>
    </row>
    <row r="41" spans="2:6">
      <c r="B41" s="1">
        <v>0.4</v>
      </c>
      <c r="C41">
        <f t="shared" si="2"/>
        <v>11100</v>
      </c>
      <c r="D41">
        <f t="shared" ca="1" si="3"/>
        <v>1203.0407555402633</v>
      </c>
      <c r="E41">
        <f t="shared" ca="1" si="3"/>
        <v>1353.9562235391068</v>
      </c>
      <c r="F41">
        <f t="shared" ca="1" si="3"/>
        <v>1488.6618291001625</v>
      </c>
    </row>
    <row r="42" spans="2:6">
      <c r="B42" s="1">
        <v>0.4</v>
      </c>
      <c r="C42">
        <f t="shared" si="2"/>
        <v>11200</v>
      </c>
      <c r="D42">
        <f t="shared" ca="1" si="3"/>
        <v>1288.4613351061867</v>
      </c>
      <c r="E42">
        <f t="shared" ca="1" si="3"/>
        <v>1431.8186587971775</v>
      </c>
      <c r="F42">
        <f t="shared" ca="1" si="3"/>
        <v>1562.9534026584902</v>
      </c>
    </row>
    <row r="43" spans="2:6">
      <c r="B43" s="1">
        <v>0.4</v>
      </c>
      <c r="C43">
        <f t="shared" si="2"/>
        <v>11300</v>
      </c>
      <c r="D43">
        <f t="shared" ca="1" si="3"/>
        <v>1375.6780955091831</v>
      </c>
      <c r="E43">
        <f t="shared" ca="1" si="3"/>
        <v>1511.3226858995599</v>
      </c>
      <c r="F43">
        <f t="shared" ca="1" si="3"/>
        <v>1638.6888564219505</v>
      </c>
    </row>
    <row r="44" spans="2:6">
      <c r="B44" s="1">
        <v>0.4</v>
      </c>
      <c r="C44">
        <f t="shared" si="2"/>
        <v>11400</v>
      </c>
      <c r="D44">
        <f t="shared" ca="1" si="3"/>
        <v>1464.517389583614</v>
      </c>
      <c r="E44">
        <f t="shared" ca="1" si="3"/>
        <v>1592.3801435327039</v>
      </c>
      <c r="F44">
        <f t="shared" ca="1" si="3"/>
        <v>1715.8109417844457</v>
      </c>
    </row>
    <row r="45" spans="2:6">
      <c r="B45" s="1">
        <v>0.4</v>
      </c>
      <c r="C45">
        <f t="shared" si="2"/>
        <v>11500</v>
      </c>
      <c r="D45">
        <f t="shared" ca="1" si="3"/>
        <v>1554.8140431629126</v>
      </c>
      <c r="E45">
        <f t="shared" ca="1" si="3"/>
        <v>1674.903738581738</v>
      </c>
      <c r="F45">
        <f t="shared" ca="1" si="3"/>
        <v>1794.262465030788</v>
      </c>
    </row>
    <row r="46" spans="2:6">
      <c r="B46" s="1">
        <v>0.4</v>
      </c>
      <c r="C46">
        <f t="shared" si="2"/>
        <v>11600</v>
      </c>
      <c r="D46">
        <f t="shared" ca="1" si="3"/>
        <v>1646.4124746789212</v>
      </c>
      <c r="E46">
        <f t="shared" ca="1" si="3"/>
        <v>1758.8075445108184</v>
      </c>
      <c r="F46">
        <f t="shared" ca="1" si="3"/>
        <v>1873.986530752657</v>
      </c>
    </row>
    <row r="47" spans="2:6">
      <c r="B47" s="1">
        <v>0.4</v>
      </c>
      <c r="C47">
        <f t="shared" si="2"/>
        <v>11700</v>
      </c>
      <c r="D47">
        <f t="shared" ca="1" si="3"/>
        <v>1739.167471256236</v>
      </c>
      <c r="E47">
        <f t="shared" ca="1" si="3"/>
        <v>1844.0074395379154</v>
      </c>
      <c r="F47">
        <f t="shared" ca="1" si="3"/>
        <v>1954.9267639904863</v>
      </c>
    </row>
    <row r="48" spans="2:6">
      <c r="B48" s="1">
        <v>0.4</v>
      </c>
      <c r="C48">
        <f t="shared" si="2"/>
        <v>11800</v>
      </c>
      <c r="D48">
        <f t="shared" ca="1" si="3"/>
        <v>1832.9446535494631</v>
      </c>
      <c r="E48">
        <f t="shared" ca="1" si="3"/>
        <v>1930.4214853842209</v>
      </c>
      <c r="F48">
        <f t="shared" ca="1" si="3"/>
        <v>2037.027511137316</v>
      </c>
    </row>
    <row r="49" spans="2:6">
      <c r="B49" s="1">
        <v>0.4</v>
      </c>
      <c r="C49">
        <f t="shared" si="2"/>
        <v>11900</v>
      </c>
      <c r="D49">
        <f t="shared" ca="1" si="3"/>
        <v>1927.620666196646</v>
      </c>
      <c r="E49">
        <f t="shared" ca="1" si="3"/>
        <v>2017.9702482408452</v>
      </c>
      <c r="F49">
        <f t="shared" ca="1" si="3"/>
        <v>2120.2340198671945</v>
      </c>
    </row>
    <row r="50" spans="2:6">
      <c r="B50" s="1">
        <v>0.4</v>
      </c>
      <c r="C50">
        <f t="shared" si="2"/>
        <v>12000</v>
      </c>
      <c r="D50">
        <f t="shared" ref="D50:F55" ca="1" si="4">IF($B$3="価格",bs_price($B$2,$B50,$B$5,$B$4,D$8,$C50,$B$6),IF($B$3="delta",bs_delta($B$2,$B50,$B$5,$B$4,D$8,$C50,$B$6)))</f>
        <v>2023.0831331629277</v>
      </c>
      <c r="E50">
        <f t="shared" ca="1" si="4"/>
        <v>2106.577064312693</v>
      </c>
      <c r="F50">
        <f t="shared" ca="1" si="4"/>
        <v>2204.4925985473592</v>
      </c>
    </row>
    <row r="51" spans="2:6">
      <c r="B51" s="1">
        <v>0.4</v>
      </c>
      <c r="C51">
        <f t="shared" si="2"/>
        <v>12100</v>
      </c>
      <c r="D51">
        <f t="shared" ca="1" si="4"/>
        <v>2119.2304177429437</v>
      </c>
      <c r="E51">
        <f t="shared" ca="1" si="4"/>
        <v>2196.1682528761644</v>
      </c>
      <c r="F51">
        <f t="shared" ca="1" si="4"/>
        <v>2289.7507557610866</v>
      </c>
    </row>
    <row r="52" spans="2:6">
      <c r="B52" s="1">
        <v>0.4</v>
      </c>
      <c r="C52">
        <f t="shared" si="2"/>
        <v>12200</v>
      </c>
      <c r="D52">
        <f t="shared" ca="1" si="4"/>
        <v>2215.9712259270223</v>
      </c>
      <c r="E52">
        <f t="shared" ca="1" si="4"/>
        <v>2286.6732802313013</v>
      </c>
      <c r="F52">
        <f t="shared" ca="1" si="4"/>
        <v>2375.9573207078856</v>
      </c>
    </row>
    <row r="53" spans="2:6">
      <c r="B53" s="1">
        <v>0.4</v>
      </c>
      <c r="C53">
        <f t="shared" si="2"/>
        <v>12300</v>
      </c>
      <c r="D53">
        <f t="shared" ca="1" si="4"/>
        <v>2313.224089567836</v>
      </c>
      <c r="E53">
        <f t="shared" ca="1" si="4"/>
        <v>2378.0248782502063</v>
      </c>
      <c r="F53">
        <f t="shared" ca="1" si="4"/>
        <v>2463.0625453613861</v>
      </c>
    </row>
    <row r="54" spans="2:6">
      <c r="B54" s="1">
        <v>0.4</v>
      </c>
      <c r="C54">
        <f t="shared" si="2"/>
        <v>12400</v>
      </c>
      <c r="D54">
        <f t="shared" ca="1" si="4"/>
        <v>2410.9167626479848</v>
      </c>
      <c r="E54">
        <f t="shared" ca="1" si="4"/>
        <v>2470.1591214329719</v>
      </c>
      <c r="F54">
        <f t="shared" ca="1" si="4"/>
        <v>2551.0181893543204</v>
      </c>
    </row>
    <row r="55" spans="2:6">
      <c r="B55" s="1">
        <v>0.4</v>
      </c>
      <c r="C55">
        <f t="shared" si="2"/>
        <v>12500</v>
      </c>
      <c r="D55">
        <f t="shared" ca="1" si="4"/>
        <v>2508.9855602519206</v>
      </c>
      <c r="E55">
        <f t="shared" ca="1" si="4"/>
        <v>2563.0154664926004</v>
      </c>
      <c r="F55">
        <f t="shared" ca="1" si="4"/>
        <v>2639.7775886265858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52"/>
  <sheetViews>
    <sheetView tabSelected="1" workbookViewId="0">
      <selection activeCell="E5" sqref="E5"/>
    </sheetView>
  </sheetViews>
  <sheetFormatPr defaultRowHeight="18.75"/>
  <cols>
    <col min="1" max="1" width="15.5" bestFit="1" customWidth="1"/>
    <col min="2" max="2" width="16.5" customWidth="1"/>
    <col min="3" max="3" width="15.5" bestFit="1" customWidth="1"/>
    <col min="4" max="4" width="10.25" bestFit="1" customWidth="1"/>
    <col min="5" max="5" width="14" customWidth="1"/>
    <col min="6" max="6" width="10.125" bestFit="1" customWidth="1"/>
    <col min="8" max="8" width="11.125" customWidth="1"/>
    <col min="9" max="9" width="10.125" bestFit="1" customWidth="1"/>
    <col min="11" max="11" width="18.625" bestFit="1" customWidth="1"/>
  </cols>
  <sheetData>
    <row r="1" spans="1:19" ht="30">
      <c r="A1" s="16" t="s">
        <v>70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spans="1:19" ht="18" customHeight="1">
      <c r="A2" s="16"/>
      <c r="B2" s="15" t="s">
        <v>71</v>
      </c>
      <c r="C2" s="28">
        <f ca="1">TODAY()</f>
        <v>43914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</row>
    <row r="3" spans="1:19" ht="18" customHeight="1">
      <c r="A3" s="16"/>
      <c r="B3" s="15" t="s">
        <v>72</v>
      </c>
      <c r="C3" s="21">
        <v>365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</row>
    <row r="4" spans="1:19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</row>
    <row r="5" spans="1:19">
      <c r="A5" s="15"/>
      <c r="B5" s="15" t="s">
        <v>73</v>
      </c>
      <c r="C5" s="15"/>
      <c r="D5" s="15"/>
      <c r="E5" s="15" t="s">
        <v>74</v>
      </c>
      <c r="F5" s="15"/>
      <c r="G5" s="15"/>
      <c r="H5" s="15" t="s">
        <v>75</v>
      </c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</row>
    <row r="6" spans="1:19">
      <c r="A6" s="15"/>
      <c r="B6" s="15" t="s">
        <v>76</v>
      </c>
      <c r="C6" s="22">
        <v>10000</v>
      </c>
      <c r="D6" s="15"/>
      <c r="E6" s="15" t="s">
        <v>77</v>
      </c>
      <c r="F6" s="23">
        <f>C6</f>
        <v>10000</v>
      </c>
      <c r="G6" s="15"/>
      <c r="H6" s="15" t="s">
        <v>77</v>
      </c>
      <c r="I6" s="23">
        <f>F6</f>
        <v>10000</v>
      </c>
      <c r="J6" s="15"/>
      <c r="K6" s="15"/>
      <c r="L6" s="15"/>
      <c r="M6" s="15"/>
      <c r="N6" s="15"/>
      <c r="O6" s="15"/>
      <c r="P6" s="15"/>
      <c r="Q6" s="15"/>
      <c r="R6" s="15"/>
      <c r="S6" s="15"/>
    </row>
    <row r="7" spans="1:19">
      <c r="A7" s="15"/>
      <c r="B7" s="15" t="s">
        <v>78</v>
      </c>
      <c r="C7" s="22">
        <v>10000</v>
      </c>
      <c r="D7" s="15"/>
      <c r="E7" s="15" t="s">
        <v>69</v>
      </c>
      <c r="F7" s="22">
        <v>8000</v>
      </c>
      <c r="G7" s="15"/>
      <c r="H7" s="15" t="s">
        <v>69</v>
      </c>
      <c r="I7" s="22">
        <v>12000</v>
      </c>
      <c r="J7" s="15"/>
      <c r="K7" s="15"/>
      <c r="L7" s="15"/>
      <c r="M7" s="15"/>
      <c r="N7" s="15"/>
      <c r="O7" s="15"/>
      <c r="P7" s="15"/>
      <c r="Q7" s="15"/>
      <c r="R7" s="15"/>
      <c r="S7" s="15"/>
    </row>
    <row r="8" spans="1:19">
      <c r="A8" s="15"/>
      <c r="B8" s="15" t="s">
        <v>79</v>
      </c>
      <c r="C8" s="19">
        <v>43961</v>
      </c>
      <c r="D8" s="31">
        <f ca="1">+C8-C2</f>
        <v>47</v>
      </c>
      <c r="E8" s="15" t="s">
        <v>80</v>
      </c>
      <c r="F8" s="19">
        <v>43992</v>
      </c>
      <c r="G8" s="15"/>
      <c r="H8" s="15" t="s">
        <v>80</v>
      </c>
      <c r="I8" s="19">
        <v>43992</v>
      </c>
      <c r="J8" s="15"/>
      <c r="K8" s="15"/>
      <c r="L8" s="15"/>
      <c r="M8" s="15"/>
      <c r="N8" s="15"/>
      <c r="O8" s="15"/>
      <c r="P8" s="15"/>
      <c r="Q8" s="15"/>
      <c r="R8" s="15"/>
      <c r="S8" s="15"/>
    </row>
    <row r="9" spans="1:19">
      <c r="A9" s="15"/>
      <c r="B9" s="15" t="s">
        <v>81</v>
      </c>
      <c r="C9" s="18">
        <v>0</v>
      </c>
      <c r="D9" s="15"/>
      <c r="E9" s="15" t="s">
        <v>63</v>
      </c>
      <c r="F9" s="18">
        <v>0</v>
      </c>
      <c r="G9" s="15"/>
      <c r="H9" s="15" t="s">
        <v>63</v>
      </c>
      <c r="I9" s="18">
        <v>0</v>
      </c>
      <c r="J9" s="15"/>
      <c r="K9" s="15"/>
      <c r="L9" s="15"/>
      <c r="M9" s="15"/>
      <c r="N9" s="15"/>
      <c r="O9" s="15"/>
      <c r="P9" s="15"/>
      <c r="Q9" s="15"/>
      <c r="R9" s="15"/>
      <c r="S9" s="15"/>
    </row>
    <row r="10" spans="1:19">
      <c r="A10" s="15"/>
      <c r="B10" s="15" t="s">
        <v>82</v>
      </c>
      <c r="C10" s="18">
        <v>0</v>
      </c>
      <c r="D10" s="15"/>
      <c r="E10" s="15" t="s">
        <v>64</v>
      </c>
      <c r="F10" s="18">
        <v>0</v>
      </c>
      <c r="G10" s="15"/>
      <c r="H10" s="15" t="s">
        <v>64</v>
      </c>
      <c r="I10" s="18">
        <v>0</v>
      </c>
      <c r="J10" s="15"/>
      <c r="K10" s="15"/>
      <c r="L10" s="15"/>
      <c r="M10" s="15"/>
      <c r="N10" s="15"/>
      <c r="O10" s="15"/>
      <c r="P10" s="15"/>
      <c r="Q10" s="15"/>
      <c r="R10" s="15"/>
      <c r="S10" s="15"/>
    </row>
    <row r="11" spans="1:19">
      <c r="A11" s="15"/>
      <c r="B11" s="15" t="s">
        <v>83</v>
      </c>
      <c r="C11" s="18">
        <v>0.55000000000000004</v>
      </c>
      <c r="D11" s="15"/>
      <c r="E11" s="15" t="s">
        <v>84</v>
      </c>
      <c r="F11" s="20">
        <v>0.5</v>
      </c>
      <c r="G11" s="15"/>
      <c r="H11" s="15" t="s">
        <v>84</v>
      </c>
      <c r="I11" s="20">
        <v>0.55000000000000004</v>
      </c>
      <c r="J11" s="15"/>
      <c r="K11" s="15"/>
      <c r="L11" s="15"/>
      <c r="M11" s="15"/>
      <c r="N11" s="15"/>
      <c r="O11" s="15"/>
      <c r="P11" s="15"/>
      <c r="Q11" s="15"/>
      <c r="R11" s="15"/>
      <c r="S11" s="15"/>
    </row>
    <row r="12" spans="1:19">
      <c r="A12" s="15"/>
      <c r="B12" s="15" t="s">
        <v>85</v>
      </c>
      <c r="C12" s="17" t="s">
        <v>49</v>
      </c>
      <c r="D12" s="15"/>
      <c r="E12" s="15" t="s">
        <v>65</v>
      </c>
      <c r="F12" s="17" t="s">
        <v>2</v>
      </c>
      <c r="G12" s="15"/>
      <c r="H12" s="15" t="s">
        <v>65</v>
      </c>
      <c r="I12" s="17" t="s">
        <v>49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</row>
    <row r="13" spans="1:19">
      <c r="A13" s="15"/>
      <c r="B13" s="15" t="s">
        <v>86</v>
      </c>
      <c r="C13" s="25">
        <f ca="1">bs_price(C6,C11,C10,C9,(C8-$C$2)/$C$3,C7,C12)</f>
        <v>786.08742432869303</v>
      </c>
      <c r="D13" s="15"/>
      <c r="E13" s="15" t="s">
        <v>87</v>
      </c>
      <c r="F13" s="25">
        <f ca="1">bs_price(F6,F11,F10,F9,(F8-$C$2)/$C$3,F7,F12)</f>
        <v>183.12112483296156</v>
      </c>
      <c r="G13" s="15"/>
      <c r="H13" s="15" t="s">
        <v>87</v>
      </c>
      <c r="I13" s="25">
        <f ca="1">bs_price(I6,I11,I10,I9,(I8-$C$2)/$C$3,I7,I12)</f>
        <v>384.78002606456687</v>
      </c>
      <c r="J13" s="15"/>
      <c r="K13" s="15"/>
      <c r="L13" s="15"/>
      <c r="M13" s="15"/>
      <c r="N13" s="15"/>
      <c r="O13" s="15"/>
      <c r="P13" s="15"/>
      <c r="Q13" s="15"/>
      <c r="R13" s="15"/>
      <c r="S13" s="15"/>
    </row>
    <row r="14" spans="1:19">
      <c r="A14" s="15"/>
      <c r="B14" s="15" t="s">
        <v>88</v>
      </c>
      <c r="C14" s="22">
        <v>5</v>
      </c>
      <c r="D14" s="15"/>
      <c r="E14" s="15" t="s">
        <v>89</v>
      </c>
      <c r="F14" s="22">
        <v>-3</v>
      </c>
      <c r="G14" s="15"/>
      <c r="H14" s="15" t="s">
        <v>89</v>
      </c>
      <c r="I14" s="22">
        <v>-3</v>
      </c>
      <c r="J14" s="15"/>
      <c r="K14" s="15"/>
      <c r="L14" s="15"/>
      <c r="M14" s="15"/>
      <c r="N14" s="15"/>
      <c r="O14" s="15"/>
      <c r="P14" s="15"/>
      <c r="Q14" s="15"/>
      <c r="R14" s="15"/>
      <c r="S14" s="15"/>
    </row>
    <row r="15" spans="1:19">
      <c r="A15" s="15"/>
      <c r="B15" s="15" t="s">
        <v>90</v>
      </c>
      <c r="C15" s="25">
        <f ca="1">-C13*C14</f>
        <v>-3930.4371216434652</v>
      </c>
      <c r="D15" s="15"/>
      <c r="E15" s="15"/>
      <c r="F15" s="25">
        <f ca="1">-F13*F14</f>
        <v>549.3633744988847</v>
      </c>
      <c r="G15" s="15"/>
      <c r="H15" s="15"/>
      <c r="I15" s="25">
        <f ca="1">-I13*I14</f>
        <v>1154.3400781937007</v>
      </c>
      <c r="J15" s="15"/>
      <c r="K15" s="24">
        <f ca="1">C15+F15+I15</f>
        <v>-2226.7336689508797</v>
      </c>
      <c r="L15" s="15"/>
      <c r="M15" s="15"/>
      <c r="N15" s="15"/>
      <c r="O15" s="15"/>
      <c r="P15" s="15"/>
      <c r="Q15" s="15"/>
      <c r="R15" s="15"/>
      <c r="S15" s="15"/>
    </row>
    <row r="16" spans="1:19">
      <c r="A16" s="15"/>
      <c r="B16" s="15" t="s">
        <v>91</v>
      </c>
      <c r="C16" s="26">
        <f ca="1">bs_delta(C6,C11,C10,C9,(C8-$C$2)/$C$3,C7,C12)</f>
        <v>0.53930437121643471</v>
      </c>
      <c r="D16" s="15"/>
      <c r="E16" s="15"/>
      <c r="F16" s="26">
        <f ca="1">bs_delta(F6,F11,F10,F9,(F8-$C$2)/$C$3,F7,F12)</f>
        <v>-0.13985242812332169</v>
      </c>
      <c r="G16" s="15"/>
      <c r="H16" s="15"/>
      <c r="I16" s="26">
        <f ca="1">bs_delta(I6,I11,I10,I9,(I8-$C$2)/$C$3,I7,I12)</f>
        <v>0.27760687174548176</v>
      </c>
      <c r="J16" s="15"/>
      <c r="K16" s="15"/>
      <c r="L16" s="15"/>
      <c r="M16" s="15"/>
      <c r="N16" s="15"/>
      <c r="O16" s="15"/>
      <c r="P16" s="15"/>
      <c r="Q16" s="15"/>
      <c r="R16" s="15"/>
      <c r="S16" s="15"/>
    </row>
    <row r="17" spans="1:19">
      <c r="A17" s="15"/>
      <c r="B17" s="15" t="s">
        <v>92</v>
      </c>
      <c r="C17" s="27">
        <f ca="1">C14*C16</f>
        <v>2.6965218560821738</v>
      </c>
      <c r="D17" s="15"/>
      <c r="E17" s="15"/>
      <c r="F17" s="27">
        <f ca="1">F14+F16</f>
        <v>-3.1398524281233215</v>
      </c>
      <c r="G17" s="15"/>
      <c r="H17" s="15"/>
      <c r="I17" s="27">
        <f ca="1">I14+I16</f>
        <v>-2.7223931282545184</v>
      </c>
      <c r="J17" s="15"/>
      <c r="K17" s="24">
        <f ca="1">C17+F17+I17</f>
        <v>-3.1657237002956662</v>
      </c>
      <c r="L17" s="15"/>
      <c r="M17" s="15"/>
      <c r="N17" s="15"/>
      <c r="O17" s="15"/>
      <c r="P17" s="15"/>
      <c r="Q17" s="15"/>
      <c r="R17" s="15"/>
      <c r="S17" s="15"/>
    </row>
    <row r="18" spans="1:19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</row>
    <row r="19" spans="1:19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</row>
    <row r="20" spans="1:19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</row>
    <row r="21" spans="1:19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</row>
    <row r="22" spans="1:19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</row>
    <row r="23" spans="1:19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</row>
    <row r="24" spans="1:19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</row>
    <row r="25" spans="1:19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</row>
    <row r="26" spans="1:19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</row>
    <row r="27" spans="1:19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</row>
    <row r="28" spans="1:19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</row>
    <row r="29" spans="1:19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</row>
    <row r="30" spans="1:19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</row>
    <row r="31" spans="1:19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</row>
    <row r="32" spans="1:19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</row>
    <row r="33" spans="1:19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</row>
    <row r="34" spans="1:19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</row>
    <row r="35" spans="1:19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</row>
    <row r="36" spans="1:19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</row>
    <row r="37" spans="1:19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</row>
    <row r="38" spans="1:19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</row>
    <row r="39" spans="1:19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</row>
    <row r="40" spans="1:19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</row>
    <row r="41" spans="1:19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</row>
    <row r="42" spans="1:19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</row>
    <row r="43" spans="1:19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</row>
    <row r="44" spans="1:19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</row>
    <row r="45" spans="1:19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</row>
    <row r="46" spans="1:19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</row>
    <row r="47" spans="1:19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</row>
    <row r="48" spans="1:19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</row>
    <row r="49" spans="1:19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</row>
    <row r="50" spans="1:19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</row>
    <row r="51" spans="1:19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</row>
    <row r="52" spans="1:19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"/>
  <sheetViews>
    <sheetView workbookViewId="0">
      <selection activeCell="D4" sqref="D4"/>
    </sheetView>
  </sheetViews>
  <sheetFormatPr defaultRowHeight="18.75"/>
  <cols>
    <col min="3" max="3" width="14" customWidth="1"/>
    <col min="4" max="4" width="11.875" customWidth="1"/>
  </cols>
  <sheetData>
    <row r="1" spans="1:21" ht="24">
      <c r="A1" s="15"/>
      <c r="B1" s="29" t="s">
        <v>93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1:21">
      <c r="A3" s="15"/>
      <c r="B3" s="15"/>
      <c r="C3" s="15" t="s">
        <v>94</v>
      </c>
      <c r="D3" s="19">
        <v>43896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</row>
    <row r="4" spans="1:21">
      <c r="A4" s="15"/>
      <c r="B4" s="15"/>
      <c r="C4" s="15" t="s">
        <v>95</v>
      </c>
      <c r="D4">
        <v>250</v>
      </c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spans="1:21">
      <c r="A5" s="15"/>
      <c r="B5" s="15"/>
      <c r="C5" s="15" t="s">
        <v>65</v>
      </c>
      <c r="D5" s="17" t="s">
        <v>49</v>
      </c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</row>
    <row r="6" spans="1:21">
      <c r="A6" s="15"/>
      <c r="B6" s="15"/>
      <c r="C6" s="15" t="s">
        <v>77</v>
      </c>
      <c r="D6" s="22">
        <v>10000</v>
      </c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</row>
    <row r="7" spans="1:21">
      <c r="A7" s="15"/>
      <c r="B7" s="15"/>
      <c r="C7" s="15" t="s">
        <v>69</v>
      </c>
      <c r="D7" s="22">
        <v>10000</v>
      </c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</row>
    <row r="8" spans="1:21">
      <c r="A8" s="15"/>
      <c r="B8" s="15"/>
      <c r="C8" s="15" t="s">
        <v>79</v>
      </c>
      <c r="D8" s="19">
        <v>43961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>
      <c r="A9" s="15"/>
      <c r="B9" s="15"/>
      <c r="C9" s="15" t="s">
        <v>63</v>
      </c>
      <c r="D9" s="18">
        <v>0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spans="1:21">
      <c r="A10" s="15"/>
      <c r="B10" s="15"/>
      <c r="C10" s="15" t="s">
        <v>64</v>
      </c>
      <c r="D10" s="18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spans="1:21">
      <c r="A11" s="15"/>
      <c r="B11" s="15"/>
      <c r="C11" s="15" t="s">
        <v>84</v>
      </c>
      <c r="D11" s="30">
        <f>bs_IV_Bis(D4,D6,D10,D9,(D8-D3)/365,D7,D5)</f>
        <v>0.14852197635407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</row>
    <row r="12" spans="1:21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</row>
    <row r="13" spans="1:21">
      <c r="A13" s="15"/>
      <c r="B13" s="15"/>
      <c r="C13" s="15" t="s">
        <v>96</v>
      </c>
      <c r="D13" s="15">
        <f>bs_price(D6,D11,D10,D9,(D8-D3)/365,D7,D5)</f>
        <v>249.99996721652596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</row>
    <row r="14" spans="1:21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</row>
    <row r="15" spans="1:21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</row>
    <row r="16" spans="1:21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</row>
    <row r="17" spans="1:21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</row>
    <row r="18" spans="1:21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</row>
    <row r="19" spans="1:21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</row>
    <row r="20" spans="1:21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</row>
    <row r="21" spans="1:21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</row>
    <row r="22" spans="1:21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</row>
    <row r="23" spans="1:21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</row>
  </sheetData>
  <phoneticPr fontId="2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3F441BD8313BF84E93C2C2363D618B7B" ma:contentTypeVersion="8" ma:contentTypeDescription="新しいドキュメントを作成します。" ma:contentTypeScope="" ma:versionID="49e10266a822c4de9a568a601dc995b6">
  <xsd:schema xmlns:xsd="http://www.w3.org/2001/XMLSchema" xmlns:xs="http://www.w3.org/2001/XMLSchema" xmlns:p="http://schemas.microsoft.com/office/2006/metadata/properties" xmlns:ns2="a113c259-4a6a-4709-affa-bc32e9bb03a6" targetNamespace="http://schemas.microsoft.com/office/2006/metadata/properties" ma:root="true" ma:fieldsID="95afddac6fcec4a0dbebf48f8293bd76" ns2:_="">
    <xsd:import namespace="a113c259-4a6a-4709-affa-bc32e9bb03a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13c259-4a6a-4709-affa-bc32e9bb03a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3A7340-D20E-43B5-A354-FA0909DF5C7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F94E1C-0AC2-4D43-80D2-C571818663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66A2938-8595-4061-8FDF-9985EDED6B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13c259-4a6a-4709-affa-bc32e9bb03a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Pricing</vt:lpstr>
      <vt:lpstr>IVSearch</vt:lpstr>
      <vt:lpstr>Table Example</vt:lpstr>
      <vt:lpstr>SPricingScreen</vt:lpstr>
      <vt:lpstr>Sheet2</vt:lpstr>
      <vt:lpstr>IVSearch!__DdeLink__1772_4072032673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H. Yamaguchi</dc:creator>
  <cp:keywords/>
  <dc:description/>
  <cp:lastModifiedBy>schelling</cp:lastModifiedBy>
  <cp:revision/>
  <dcterms:created xsi:type="dcterms:W3CDTF">2020-03-02T01:36:19Z</dcterms:created>
  <dcterms:modified xsi:type="dcterms:W3CDTF">2020-03-24T01:31:22Z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0x0101003F441BD8313BF84E93C2C2363D618B7B</vt:lpwstr>
  </property>
</Properties>
</file>